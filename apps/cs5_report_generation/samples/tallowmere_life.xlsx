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bout" sheetId="1" r:id="rId1"/>
    <sheet name="Company" sheetId="2" r:id="rId2"/>
    <sheet name="Figures" sheetId="3" r:id="rId3"/>
    <sheet name="Bullets" sheetId="4" r:id="rId4"/>
    <sheet name="Narratives" sheetId="5" r:id="rId5"/>
    <sheet name="House phrases" sheetId="6" r:id="rId6"/>
    <sheet name="Terminology" sheetId="7" r:id="rId7"/>
  </sheets>
  <calcPr calcId="124519" fullCalcOnLoad="1"/>
</workbook>
</file>

<file path=xl/sharedStrings.xml><?xml version="1.0" encoding="utf-8"?>
<sst xmlns="http://schemas.openxmlformats.org/spreadsheetml/2006/main" count="483" uniqueCount="260">
  <si>
    <t>Tallowmere Life: figures, driver bullets and SFCR texts for sections E.1 and E.2</t>
  </si>
  <si>
    <t>Tallowmere Life is a fictitious insurer created for teaching; all figures are synthetic.</t>
  </si>
  <si>
    <t>This workbook feeds the Case Study 5 report app (apps/cs5_report_generation). Edit it, save it, and upload it in the app.</t>
  </si>
  <si>
    <t>Company: the text facts of the insurer (legal form, capital management policy, calculation methods, risk appetite). appetite_low and appetite_high are numbers in per cent.</t>
  </si>
  <si>
    <t>Figures: EUR million at 31 December. Yellow cells are inputs; grey cells are totals and ratios computed by formulas. The app reads only the inputs and computes every total, every amount eligible under the tier limits and every ratio itself; deductions (diversification, loss-absorbing capacity) are positive amounts.</t>
  </si>
  <si>
    <t>Bullets: the driver bullets of the finance and risk teams for each year. They are the only evidence for a cause that the text may state.</t>
  </si>
  <si>
    <t>Narratives: the E.1 and E.2 texts published for 2022 to 2025, one row per text block (slot); 'based_on' names the bullets a block draws on. 2026 has figures and bullets but no text yet: that is the year to draft.</t>
  </si>
  <si>
    <t>House phrases: the words for a movement by its size (per cent for amounts, percentage points for ratios). Terminology: the house terms and the terms to avoid.</t>
  </si>
  <si>
    <t>field</t>
  </si>
  <si>
    <t>value</t>
  </si>
  <si>
    <t>company_id</t>
  </si>
  <si>
    <t>tallowmere</t>
  </si>
  <si>
    <t>company_name</t>
  </si>
  <si>
    <t>Tallowmere Life</t>
  </si>
  <si>
    <t>legal_form</t>
  </si>
  <si>
    <t>a public limited company (life insurance undertaking) wholly owned by Tallowmere Holding</t>
  </si>
  <si>
    <t>lines_of_business</t>
  </si>
  <si>
    <t>traditional life insurance with profit participation, unit-linked insurance, term life insurance, annuities and a small income protection (health) portfolio</t>
  </si>
  <si>
    <t>home_member_state</t>
  </si>
  <si>
    <t>Austria</t>
  </si>
  <si>
    <t>supervisor</t>
  </si>
  <si>
    <t>Home Supervisory Authority (fictitious placeholder)</t>
  </si>
  <si>
    <t>fictitious_note</t>
  </si>
  <si>
    <t>appetite_low</t>
  </si>
  <si>
    <t>150</t>
  </si>
  <si>
    <t>appetite_high</t>
  </si>
  <si>
    <t>200</t>
  </si>
  <si>
    <t>capital_policy</t>
  </si>
  <si>
    <t>Meet obligations to policyholders at all times, cover the SCR with a margin and pay sustainable dividends; the Board of Directors approves the capital management policy, which defines a risk appetite range for the Solvency II ratio, and reviews the capital position every quarter.</t>
  </si>
  <si>
    <t>planning_horizon</t>
  </si>
  <si>
    <t>three years (business plan)</t>
  </si>
  <si>
    <t>tier1_items</t>
  </si>
  <si>
    <t>share capital, share premium and reconciliation reserve</t>
  </si>
  <si>
    <t>tier2_items</t>
  </si>
  <si>
    <t>subordinated notes issued in June 2024</t>
  </si>
  <si>
    <t>tier3_items</t>
  </si>
  <si>
    <t>none</t>
  </si>
  <si>
    <t>ancillary_own_funds</t>
  </si>
  <si>
    <t>deductions_restrictions</t>
  </si>
  <si>
    <t>foreseeable dividends deducted from the reconciliation reserve; no other deductions; no restrictions on availability or transferability</t>
  </si>
  <si>
    <t>calculation</t>
  </si>
  <si>
    <t>standard formula; the loss-absorbing capacity of technical provisions reflects future discretionary benefits</t>
  </si>
  <si>
    <t>simplifications</t>
  </si>
  <si>
    <t>undertaking_specific_parameters</t>
  </si>
  <si>
    <t>capital_add_on</t>
  </si>
  <si>
    <t>mcr_inputs</t>
  </si>
  <si>
    <t>linear formula for life insurance: technical provisions without risk margin (guaranteed benefits, future discretionary benefits, unit-linked) and the capital at risk; floor 25% and cap 45% of the SCR</t>
  </si>
  <si>
    <t>style</t>
  </si>
  <si>
    <t>third person ('Tallowmere Life'); formal; 'Solvency II ratio' for the SCR coverage ratio; causes introduced with 'reflecting' or 'as a result of'</t>
  </si>
  <si>
    <t>id</t>
  </si>
  <si>
    <t>item</t>
  </si>
  <si>
    <t>unit</t>
  </si>
  <si>
    <t>kind</t>
  </si>
  <si>
    <t>section</t>
  </si>
  <si>
    <t>2021</t>
  </si>
  <si>
    <t>2022</t>
  </si>
  <si>
    <t>2023</t>
  </si>
  <si>
    <t>2024</t>
  </si>
  <si>
    <t>2025</t>
  </si>
  <si>
    <t>2026</t>
  </si>
  <si>
    <t>scr_market</t>
  </si>
  <si>
    <t>market risk</t>
  </si>
  <si>
    <t>EUR m</t>
  </si>
  <si>
    <t>input</t>
  </si>
  <si>
    <t>E.2</t>
  </si>
  <si>
    <t>scr_default</t>
  </si>
  <si>
    <t>counterparty default risk</t>
  </si>
  <si>
    <t>scr_life</t>
  </si>
  <si>
    <t>life underwriting risk</t>
  </si>
  <si>
    <t>scr_health</t>
  </si>
  <si>
    <t>health underwriting risk</t>
  </si>
  <si>
    <t>scr_nonlife</t>
  </si>
  <si>
    <t>non-life underwriting risk</t>
  </si>
  <si>
    <t>div_benefit</t>
  </si>
  <si>
    <t>diversification benefit (deducted)</t>
  </si>
  <si>
    <t>bscr</t>
  </si>
  <si>
    <t>Basic Solvency Capital Requirement (BSCR)</t>
  </si>
  <si>
    <t>derived</t>
  </si>
  <si>
    <t>scr_operational</t>
  </si>
  <si>
    <t>operational risk</t>
  </si>
  <si>
    <t>lac_tp</t>
  </si>
  <si>
    <t>loss-absorbing capacity of technical provisions (deducted)</t>
  </si>
  <si>
    <t>lac_dt</t>
  </si>
  <si>
    <t>loss-absorbing capacity of deferred taxes (deducted)</t>
  </si>
  <si>
    <t>scr</t>
  </si>
  <si>
    <t>Solvency Capital Requirement (SCR)</t>
  </si>
  <si>
    <t>mcr</t>
  </si>
  <si>
    <t>Minimum Capital Requirement (MCR)</t>
  </si>
  <si>
    <t>of_t1</t>
  </si>
  <si>
    <t>Tier 1 own funds</t>
  </si>
  <si>
    <t>E.1</t>
  </si>
  <si>
    <t>of_t2</t>
  </si>
  <si>
    <t>Tier 2 own funds</t>
  </si>
  <si>
    <t>of_t3</t>
  </si>
  <si>
    <t>Tier 3 own funds</t>
  </si>
  <si>
    <t>of_total</t>
  </si>
  <si>
    <t>total basic own funds</t>
  </si>
  <si>
    <t>eof_scr_t1</t>
  </si>
  <si>
    <t>Tier 1 eligible to cover the SCR</t>
  </si>
  <si>
    <t>eof_scr_t2</t>
  </si>
  <si>
    <t>Tier 2 eligible to cover the SCR</t>
  </si>
  <si>
    <t>eof_scr_t3</t>
  </si>
  <si>
    <t>Tier 3 eligible to cover the SCR</t>
  </si>
  <si>
    <t>eof_scr</t>
  </si>
  <si>
    <t>eligible own funds to cover the SCR</t>
  </si>
  <si>
    <t>eof_mcr_t1</t>
  </si>
  <si>
    <t>Tier 1 eligible to cover the MCR</t>
  </si>
  <si>
    <t>eof_mcr_t2</t>
  </si>
  <si>
    <t>Tier 2 eligible to cover the MCR</t>
  </si>
  <si>
    <t>eof_mcr</t>
  </si>
  <si>
    <t>eligible own funds to cover the MCR</t>
  </si>
  <si>
    <t>of_inelig_scr</t>
  </si>
  <si>
    <t>own funds not eligible to cover the SCR (tier limits)</t>
  </si>
  <si>
    <t>cov_scr</t>
  </si>
  <si>
    <t>SCR coverage ratio</t>
  </si>
  <si>
    <t>%</t>
  </si>
  <si>
    <t>cov_mcr</t>
  </si>
  <si>
    <t>MCR coverage ratio</t>
  </si>
  <si>
    <t>equity_fs</t>
  </si>
  <si>
    <t>equity in the financial statements</t>
  </si>
  <si>
    <t>E.1(e)</t>
  </si>
  <si>
    <t>rec_tp</t>
  </si>
  <si>
    <t>valuation of technical provisions (difference)</t>
  </si>
  <si>
    <t>rec_intangibles</t>
  </si>
  <si>
    <t>intangible assets (difference)</t>
  </si>
  <si>
    <t>rec_dt</t>
  </si>
  <si>
    <t>deferred taxes (difference)</t>
  </si>
  <si>
    <t>rec_other</t>
  </si>
  <si>
    <t>other valuation differences</t>
  </si>
  <si>
    <t>eaol</t>
  </si>
  <si>
    <t>excess of assets over liabilities</t>
  </si>
  <si>
    <t>foreseeable_div</t>
  </si>
  <si>
    <t>foreseeable dividends (deducted)</t>
  </si>
  <si>
    <t>sub_liab</t>
  </si>
  <si>
    <t>subordinated liabilities in basic own funds</t>
  </si>
  <si>
    <t>year</t>
  </si>
  <si>
    <t>topic</t>
  </si>
  <si>
    <t>text</t>
  </si>
  <si>
    <t>B1</t>
  </si>
  <si>
    <t>Interest rates</t>
  </si>
  <si>
    <t>Euro interest rates rose sharply in 2022. The value of our technical provisions fell by more than the value of our bonds, which increased the reconciliation reserve and Tier 1 own funds.</t>
  </si>
  <si>
    <t>B2</t>
  </si>
  <si>
    <t>Credit spreads</t>
  </si>
  <si>
    <t>Wider credit spreads on corporate bonds increased spread risk within market risk.</t>
  </si>
  <si>
    <t>B3</t>
  </si>
  <si>
    <t>Lapse risk</t>
  </si>
  <si>
    <t>Higher interest rates make surrenders more attractive for policyholders; the mass lapse scenario increased life underwriting risk.</t>
  </si>
  <si>
    <t>B4</t>
  </si>
  <si>
    <t>Dividend</t>
  </si>
  <si>
    <t>The Board proposed a dividend of EUR 20.0 million, which is deducted from own funds as a foreseeable dividend.</t>
  </si>
  <si>
    <t>Investment result</t>
  </si>
  <si>
    <t>Strong equity markets produced a good investment result, which increased the reconciliation reserve; higher equity values also increased equity risk.</t>
  </si>
  <si>
    <t>New business</t>
  </si>
  <si>
    <t>Sales of unit-linked and term life products grew; the new business increased life underwriting risk.</t>
  </si>
  <si>
    <t>The Board proposed a dividend of EUR 22.0 million, deducted as a foreseeable dividend.</t>
  </si>
  <si>
    <t>Assumptions</t>
  </si>
  <si>
    <t>There were no material changes to actuarial assumptions.</t>
  </si>
  <si>
    <t>Euro interest rates fell in 2024. The value of our technical provisions rose by more than the value of our assets, which reduced the reconciliation reserve and Tier 1 own funds; lower rates also increased the interest rate risk within market risk.</t>
  </si>
  <si>
    <t>Lapse assumptions</t>
  </si>
  <si>
    <t>After an experience study we updated our lapse assumptions; this increased the best estimate of technical provisions and reduced Tier 1 own funds.</t>
  </si>
  <si>
    <t>Subordinated notes</t>
  </si>
  <si>
    <t>In June 2024 we issued subordinated notes of EUR 150.0 million, classified as Tier 2 own funds, to strengthen our capital position.</t>
  </si>
  <si>
    <t>The Board decided not to pay a dividend for 2024; no foreseeable dividend was deducted.</t>
  </si>
  <si>
    <t>Asset allocation</t>
  </si>
  <si>
    <t>We reduced our equity holdings in favour of government bonds, which lowered equity risk within market risk.</t>
  </si>
  <si>
    <t>Profit</t>
  </si>
  <si>
    <t>The profit of the year increased the reconciliation reserve and Tier 1 own funds.</t>
  </si>
  <si>
    <t>Annuities</t>
  </si>
  <si>
    <t>Higher sales of annuities increased longevity risk within life underwriting risk.</t>
  </si>
  <si>
    <t>The Board proposed a dividend of EUR 15.0 million, deducted as a foreseeable dividend.</t>
  </si>
  <si>
    <t>Euro interest rates fell in the second half of 2026. The value of our technical provisions rose by more than the value of our bonds, which reduced the reconciliation reserve and Tier 1 own funds.</t>
  </si>
  <si>
    <t>Market risk</t>
  </si>
  <si>
    <t>Lower interest rates increased the interest rate risk within market risk.</t>
  </si>
  <si>
    <t>Loss absorbency</t>
  </si>
  <si>
    <t>Higher future discretionary benefits increased the loss-absorbing capacity of technical provisions, which partly offset the increase in market risk.</t>
  </si>
  <si>
    <t>The Board proposed a dividend of EUR 10.0 million, deducted as a foreseeable dividend.</t>
  </si>
  <si>
    <t>B5</t>
  </si>
  <si>
    <t>Risk appetite</t>
  </si>
  <si>
    <t>The Solvency II ratio remained within our risk appetite range of 150% to 200%; no management actions were required.</t>
  </si>
  <si>
    <t>B6</t>
  </si>
  <si>
    <t>MCR</t>
  </si>
  <si>
    <t>The MCR increased; the finance team has not yet analysed the reasons by line of business.</t>
  </si>
  <si>
    <t>slot</t>
  </si>
  <si>
    <t>title</t>
  </si>
  <si>
    <t>based_on</t>
  </si>
  <si>
    <t>e1_policy</t>
  </si>
  <si>
    <t>Objectives, policies and processes for managing own funds</t>
  </si>
  <si>
    <t>Tallowmere Life manages its own funds to meet its obligations to policyholders at all times, to cover its Solvency Capital Requirement (SCR) with a margin and to pay sustainable dividends to its shareholder. The capital management policy, approved by the Board of Directors, defines a risk appetite range for the Solvency II ratio of 150% to 200%, and the Board reviews the capital position every quarter. Capital planning is part of the business plan, which covers a time horizon of three years. No material changes were made to the capital management policy in 2022.</t>
  </si>
  <si>
    <t>e1_structure</t>
  </si>
  <si>
    <t>Structure, amount and quality of own funds by tier</t>
  </si>
  <si>
    <t>B1; B4</t>
  </si>
  <si>
    <t>At 31 December 2022, basic own funds amounted to EUR 720.9 million (2021: EUR 624.0 million). Tier 1 own funds, which comprise the share capital, the share premium and the reconciliation reserve, increased materially by 15.5% to EUR 720.9 million, reflecting the rise in interest rates, which reduced the value of technical provisions by more than the value of the bonds and increased the reconciliation reserve. Tallowmere Life has no Tier 2 or Tier 3 own funds. The foreseeable dividend of EUR 20.0 million has been deducted from the reconciliation reserve. Tallowmere Life holds no ancillary own funds. Table E.1 shows the own funds by tier.</t>
  </si>
  <si>
    <t>e1_eligibility</t>
  </si>
  <si>
    <t>Eligible own funds to cover the SCR and the MCR</t>
  </si>
  <si>
    <t>All basic own funds of Tallowmere Life are eligible to cover the SCR. Eligible own funds to cover the SCR amounted to EUR 720.9 million at 31 December 2022 (2021: EUR 624.0 million). Eligible own funds to cover the Minimum Capital Requirement (MCR) amounted to EUR 720.9 million (2021: EUR 624.0 million). Apart from the foreseeable dividend, no items were deducted from own funds, and there are no restrictions on their availability or transferability.</t>
  </si>
  <si>
    <t>e1_reconciliation</t>
  </si>
  <si>
    <t>Equity in the financial statements and excess of assets over liabilities</t>
  </si>
  <si>
    <t>Equity in the financial statements of Tallowmere Life amounted to EUR 578.3 million at 31 December 2022 (2021: EUR 513.1 million), and the excess of assets over liabilities for solvency purposes to EUR 740.9 million (2021: EUR 642.0 million). The main difference is the valuation of technical provisions: the best estimate includes the expected future profits of the in-force business, which adds EUR 254.8 million. Intangible assets of EUR 29.8 million are not recognised for solvency purposes, and deferred taxes on the valuation differences reduce the excess of assets over liabilities by EUR 62.4 million.</t>
  </si>
  <si>
    <t>e2_amounts</t>
  </si>
  <si>
    <t>Solvency Capital Requirement and Minimum Capital Requirement</t>
  </si>
  <si>
    <t>At 31 December 2022, the SCR of Tallowmere Life amounted to EUR 367.8 million and the MCR to EUR 119.3 million (2021: EUR 356.5 million and EUR 115.6 million). The Solvency II ratio was 196% (2021: 175%), and the MCR coverage ratio was 604% (2021: 540%). The final amount of the SCR is not subject to supervisory assessment. Table E.2 shows the SCR by risk module.</t>
  </si>
  <si>
    <t>e2_methods</t>
  </si>
  <si>
    <t>Calculation methods and inputs to the MCR</t>
  </si>
  <si>
    <t>Tallowmere Life calculates the SCR with the standard formula. It uses no simplified calculations and no undertaking-specific parameters, and no capital add-on has been imposed. The loss-absorbing capacity of technical provisions takes into account the future discretionary benefits of the with-profits business. The MCR is calculated with the linear formula for life insurance, whose inputs are the technical provisions without risk margin, split into guaranteed benefits, future discretionary benefits and unit-linked business, and the capital at risk; the result is bounded by a floor of 25% and a cap of 45% of the SCR.</t>
  </si>
  <si>
    <t>e2_changes</t>
  </si>
  <si>
    <t>Material changes over the reporting period</t>
  </si>
  <si>
    <t>B1; B2; B3</t>
  </si>
  <si>
    <t>The SCR increased moderately by 3.2% to EUR 367.8 million. Market risk increased moderately by 3.3% to EUR 341.2 million, reflecting wider credit spreads on corporate bonds, and life underwriting risk increased moderately by 4.1% to EUR 262.0 million, reflecting the higher mass lapse risk after the rise in interest rates. The MCR increased moderately by 3.2% to EUR 119.3 million. The Solvency II ratio increased by 21 percentage points to 196%, as a result of the higher reconciliation reserve.</t>
  </si>
  <si>
    <t>Tallowmere Life manages its own funds to meet its obligations to policyholders at all times, to cover its Solvency Capital Requirement (SCR) with a margin and to pay sustainable dividends to its shareholder. The capital management policy, approved by the Board of Directors, defines a risk appetite range for the Solvency II ratio of 150% to 200%, and the Board reviews the capital position every quarter. Capital planning is part of the business plan, which covers a time horizon of three years. No material changes were made to the capital management policy in 2023.</t>
  </si>
  <si>
    <t>B1; B3</t>
  </si>
  <si>
    <t>At 31 December 2023, basic own funds amounted to EUR 759.6 million (2022: EUR 720.9 million). Tier 1 own funds, which comprise the share capital, the share premium and the reconciliation reserve, increased by 5.4% to EUR 759.6 million, reflecting a good investment result on equities, which increased the reconciliation reserve. Tallowmere Life has no Tier 2 or Tier 3 own funds. The foreseeable dividend of EUR 22.0 million has been deducted from the reconciliation reserve. Tallowmere Life holds no ancillary own funds. Table E.1 shows the own funds by tier.</t>
  </si>
  <si>
    <t>All basic own funds of Tallowmere Life are eligible to cover the SCR. Eligible own funds to cover the SCR amounted to EUR 759.6 million at 31 December 2023 (2022: EUR 720.9 million). Eligible own funds to cover the Minimum Capital Requirement (MCR) amounted to EUR 759.6 million (2022: EUR 720.9 million). Apart from the foreseeable dividend, no items were deducted from own funds, and there are no restrictions on their availability or transferability.</t>
  </si>
  <si>
    <t>Equity in the financial statements of Tallowmere Life amounted to EUR 607.6 million at 31 December 2023 (2022: EUR 578.3 million), and the excess of assets over liabilities for solvency purposes to EUR 781.6 million (2022: EUR 740.9 million). The main difference is the valuation of technical provisions: the best estimate includes the expected future profits of the in-force business, which adds EUR 268.1 million. Intangible assets of EUR 28.5 million are not recognised for solvency purposes, and deferred taxes on the valuation differences reduce the excess of assets over liabilities by EUR 65.6 million.</t>
  </si>
  <si>
    <t>At 31 December 2023, the SCR of Tallowmere Life amounted to EUR 377.9 million and the MCR to EUR 122.7 million (2022: EUR 367.8 million and EUR 119.3 million). The Solvency II ratio was 201% (2022: 196%), and the MCR coverage ratio was 619% (2022: 604%). The final amount of the SCR is not subject to supervisory assessment. Table E.2 shows the SCR by risk module.</t>
  </si>
  <si>
    <t>B1; B2</t>
  </si>
  <si>
    <t>The SCR increased moderately by 2.7% to EUR 377.9 million. Market risk increased moderately by 3.4% to EUR 352.9 million, reflecting higher equity values, and life underwriting risk increased moderately by 3.2% to EUR 270.4 million, reflecting the growth in unit-linked and term life business. The MCR increased moderately by 2.8% to EUR 122.7 million. The Solvency II ratio increased moderately by 5 percentage points to 201%, reflecting the good investment result.</t>
  </si>
  <si>
    <t>B3; B4</t>
  </si>
  <si>
    <t>Tallowmere Life manages its own funds to meet its obligations to policyholders at all times, to cover its Solvency Capital Requirement (SCR) with a margin and to pay sustainable dividends to its shareholder. The capital management policy, approved by the Board of Directors, defines a risk appetite range for the Solvency II ratio of 150% to 200%, and the Board reviews the capital position every quarter. Capital planning is part of the business plan, which covers a time horizon of three years. In 2024, the Board decided to issue subordinated notes and not to pay a dividend for the year, in order to strengthen the capital position.</t>
  </si>
  <si>
    <t>B1; B2; B3; B4</t>
  </si>
  <si>
    <t>At 31 December 2024, basic own funds amounted to EUR 727.8 million (2023: EUR 759.6 million). Tier 1 own funds, which comprise the share capital, the share premium and the reconciliation reserve, decreased materially by 23.9% to EUR 577.8 million, as a result of falling interest rates and updated lapse assumptions, which increased the value of technical provisions and reduced the reconciliation reserve. Tier 2 own funds of EUR 150.0 million consist of the subordinated notes issued in June 2024. Tallowmere Life has no Tier 3 own funds. No foreseeable dividend was deducted, as the Board decided not to pay a dividend for 2024. Tallowmere Life holds no ancillary own funds. Table E.1 shows the own funds by tier.</t>
  </si>
  <si>
    <t>All basic own funds of Tallowmere Life are eligible to cover the SCR. Eligible own funds to cover the SCR amounted to EUR 727.8 million at 31 December 2024 (2023: EUR 759.6 million). To cover the Minimum Capital Requirement (MCR), Tier 2 own funds are eligible only up to 20% of the MCR; eligible own funds to cover the MCR therefore amounted to EUR 603.7 million (2023: EUR 759.6 million). No items were deducted from own funds, and there are no restrictions on their availability or transferability.</t>
  </si>
  <si>
    <t>Equity in the financial statements of Tallowmere Life amounted to EUR 454.8 million at 31 December 2024 (2023: EUR 607.6 million), and the excess of assets over liabilities for solvency purposes to EUR 577.8 million (2023: EUR 781.6 million). The main difference is the valuation of technical provisions: the best estimate includes the expected future profits of the in-force business, which adds EUR 198.7 million. Intangible assets of EUR 27.1 million are not recognised for solvency purposes, and deferred taxes on the valuation differences reduce the excess of assets over liabilities by EUR 48.6 million.</t>
  </si>
  <si>
    <t>At 31 December 2024, the SCR of Tallowmere Life amounted to EUR 397.7 million and the MCR to EUR 129.6 million (2023: EUR 377.9 million and EUR 122.7 million). The Solvency II ratio was 183% (2023: 201%), and the MCR coverage ratio was 466% (2023: 619%). The final amount of the SCR is not subject to supervisory assessment. Table E.2 shows the SCR by risk module.</t>
  </si>
  <si>
    <t>The SCR increased by 5.2% to EUR 397.7 million. Market risk increased by 7.8% to EUR 380.4 million, reflecting the higher interest rate risk after the fall in interest rates. The loss-absorbing capacity of technical provisions increased by 7.0% to EUR 94.8 million. The MCR increased by 5.6% to EUR 129.6 million. The Solvency II ratio decreased by 18 percentage points to 183% as a result of the lower reconciliation reserve; the subordinated notes issued in June 2024 partly offset the decrease.</t>
  </si>
  <si>
    <t>Tallowmere Life manages its own funds to meet its obligations to policyholders at all times, to cover its Solvency Capital Requirement (SCR) with a margin and to pay sustainable dividends to its shareholder. The capital management policy, approved by the Board of Directors, defines a risk appetite range for the Solvency II ratio of 150% to 200%, and the Board reviews the capital position every quarter. Capital planning is part of the business plan, which covers a time horizon of three years. No material changes were made to the capital management policy in 2025.</t>
  </si>
  <si>
    <t>B2; B4</t>
  </si>
  <si>
    <t>At 31 December 2025, basic own funds amounted to EUR 750.6 million (2024: EUR 727.8 million). Tier 1 own funds, which comprise the share capital, the share premium and the reconciliation reserve, increased moderately by 3.9% to EUR 600.6 million, reflecting the profit of the year, which increased the reconciliation reserve. Tier 2 own funds of EUR 150.0 million consist of the subordinated notes issued in June 2024. Tallowmere Life has no Tier 3 own funds. The foreseeable dividend of EUR 15.0 million has been deducted from the reconciliation reserve. Tallowmere Life holds no ancillary own funds. Table E.1 shows the own funds by tier.</t>
  </si>
  <si>
    <t>All basic own funds of Tallowmere Life are eligible to cover the SCR. Eligible own funds to cover the SCR amounted to EUR 750.6 million at 31 December 2025 (2024: EUR 727.8 million). To cover the Minimum Capital Requirement (MCR), Tier 2 own funds are eligible only up to 20% of the MCR; eligible own funds to cover the MCR therefore amounted to EUR 627.0 million (2024: EUR 603.7 million). Apart from the foreseeable dividend, no items were deducted from own funds, and there are no restrictions on their availability or transferability.</t>
  </si>
  <si>
    <t>Equity in the financial statements of Tallowmere Life amounted to EUR 479.6 million at 31 December 2025 (2024: EUR 454.8 million), and the excess of assets over liabilities for solvency purposes to EUR 615.6 million (2024: EUR 577.8 million). The main difference is the valuation of technical provisions: the best estimate includes the expected future profits of the in-force business, which adds EUR 214.3 million. Intangible assets of EUR 25.9 million are not recognised for solvency purposes, and deferred taxes on the valuation differences reduce the excess of assets over liabilities by EUR 52.4 million.</t>
  </si>
  <si>
    <t>At 31 December 2025, the SCR of Tallowmere Life amounted to EUR 399.2 million and the MCR to EUR 131.8 million (2024: EUR 397.7 million and EUR 129.6 million). The Solvency II ratio was 188% (2024: 183%), and the MCR coverage ratio was 476% (2024: 466%). The final amount of the SCR is not subject to supervisory assessment. Table E.2 shows the SCR by risk module.</t>
  </si>
  <si>
    <t>The SCR remained stable at EUR 399.2 million. Market risk decreased moderately by 2.3% to EUR 371.8 million, reflecting the reduction of equity holdings in favour of government bonds, while life underwriting risk increased moderately by 3.0% to EUR 287.5 million, reflecting higher sales of annuities and the resulting longevity risk. The MCR increased moderately by 1.7% to EUR 131.8 million. The Solvency II ratio increased moderately by 5 percentage points to 188%, reflecting the profit of the year.</t>
  </si>
  <si>
    <t>applies_to</t>
  </si>
  <si>
    <t>from</t>
  </si>
  <si>
    <t>to</t>
  </si>
  <si>
    <t>phrase_up</t>
  </si>
  <si>
    <t>phrase_down</t>
  </si>
  <si>
    <t>note</t>
  </si>
  <si>
    <t>amount</t>
  </si>
  <si>
    <t>remained stable</t>
  </si>
  <si>
    <t>relative change in per cent, absolute value</t>
  </si>
  <si>
    <t>increased moderately</t>
  </si>
  <si>
    <t>decreased moderately</t>
  </si>
  <si>
    <t>increased</t>
  </si>
  <si>
    <t>decreased</t>
  </si>
  <si>
    <t>increased materially</t>
  </si>
  <si>
    <t>decreased materially</t>
  </si>
  <si>
    <t>ratio</t>
  </si>
  <si>
    <t>change in percentage points, absolute value</t>
  </si>
  <si>
    <t>preferred</t>
  </si>
  <si>
    <t>avoid</t>
  </si>
  <si>
    <t>Solvency II ratio</t>
  </si>
  <si>
    <t>SCR coverage ratio; solvency ratio; SCR ratio</t>
  </si>
  <si>
    <t>Tallowmere Life's name for the ratio of eligible own funds to the SCR</t>
  </si>
  <si>
    <t>eligible own funds</t>
  </si>
  <si>
    <t>available capital; capital resources</t>
  </si>
  <si>
    <t>foreseeable dividend</t>
  </si>
  <si>
    <t>proposed payout; expected dividend</t>
  </si>
  <si>
    <t>reconciliation reserve</t>
  </si>
  <si>
    <t>retained earnings</t>
  </si>
  <si>
    <t>the Solvency II term</t>
  </si>
</sst>
</file>

<file path=xl/styles.xml><?xml version="1.0" encoding="utf-8"?>
<styleSheet xmlns="http://schemas.openxmlformats.org/spreadsheetml/2006/main">
  <numFmts count="2">
    <numFmt numFmtId="164" formatCode="#,##0.0"/>
    <numFmt numFmtId="165" formatCode="0.0"/>
  </numFmts>
  <fonts count="6">
    <font>
      <sz val="11"/>
      <color theme="1"/>
      <name val="Calibri"/>
      <family val="2"/>
      <scheme val="minor"/>
    </font>
    <font>
      <b/>
      <sz val="14"/>
      <color rgb="FF0F2B72"/>
      <name val="Calibri"/>
      <family val="2"/>
      <scheme val="minor"/>
    </font>
    <font>
      <b/>
      <sz val="11"/>
      <color theme="1"/>
      <name val="Calibri"/>
      <family val="2"/>
      <scheme val="minor"/>
    </font>
    <font>
      <b/>
      <sz val="11"/>
      <color rgb="FFFFFFFF"/>
      <name val="Calibri"/>
      <family val="2"/>
      <scheme val="minor"/>
    </font>
    <font>
      <b/>
      <sz val="11"/>
      <color rgb="FF009CDB"/>
      <name val="Calibri"/>
      <family val="2"/>
      <scheme val="minor"/>
    </font>
    <font>
      <i/>
      <sz val="11"/>
      <color theme="1"/>
      <name val="Calibri"/>
      <family val="2"/>
      <scheme val="minor"/>
    </font>
  </fonts>
  <fills count="5">
    <fill>
      <patternFill patternType="none"/>
    </fill>
    <fill>
      <patternFill patternType="gray125"/>
    </fill>
    <fill>
      <patternFill patternType="solid">
        <fgColor rgb="FF0F2B72"/>
        <bgColor indexed="64"/>
      </patternFill>
    </fill>
    <fill>
      <patternFill patternType="solid">
        <fgColor rgb="FFFFF8DC"/>
        <bgColor indexed="64"/>
      </patternFill>
    </fill>
    <fill>
      <patternFill patternType="solid">
        <fgColor rgb="FFEEF2F7"/>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5DEEA"/>
      </left>
      <right style="thin">
        <color rgb="FFD5DEEA"/>
      </right>
      <top style="thin">
        <color rgb="FFD5DEEA"/>
      </top>
      <bottom style="thin">
        <color rgb="FFD5DEEA"/>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0" xfId="0" applyFont="1"/>
    <xf numFmtId="0" fontId="2" fillId="0" borderId="0" xfId="0" applyFont="1" applyAlignment="1">
      <alignment vertical="top"/>
    </xf>
    <xf numFmtId="0" fontId="3" fillId="2" borderId="1" xfId="0" applyFont="1" applyFill="1" applyBorder="1" applyAlignment="1">
      <alignment vertical="top" wrapText="1"/>
    </xf>
    <xf numFmtId="164" fontId="0" fillId="3" borderId="2" xfId="0" applyNumberFormat="1" applyFill="1" applyBorder="1"/>
    <xf numFmtId="0" fontId="4" fillId="0" borderId="0" xfId="0" applyFont="1"/>
    <xf numFmtId="164" fontId="5" fillId="4" borderId="2" xfId="0" applyNumberFormat="1" applyFont="1" applyFill="1" applyBorder="1"/>
    <xf numFmtId="165" fontId="5" fillId="4" borderId="2" xfId="0" applyNumberFormat="1"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
  <sheetViews>
    <sheetView tabSelected="1" workbookViewId="0"/>
  </sheetViews>
  <sheetFormatPr defaultRowHeight="15"/>
  <cols>
    <col min="1" max="1" width="110.7109375" style="1" customWidth="1"/>
  </cols>
  <sheetData>
    <row r="1" spans="1:1">
      <c r="A1" s="2" t="s">
        <v>0</v>
      </c>
    </row>
    <row r="2" spans="1:1">
      <c r="A2" s="1" t="s">
        <v>1</v>
      </c>
    </row>
    <row r="3" spans="1:1">
      <c r="A3" s="1"/>
    </row>
    <row r="4" spans="1:1">
      <c r="A4" s="1" t="s">
        <v>2</v>
      </c>
    </row>
    <row r="5" spans="1:1">
      <c r="A5" s="1" t="s">
        <v>3</v>
      </c>
    </row>
    <row r="6" spans="1:1">
      <c r="A6" s="1" t="s">
        <v>4</v>
      </c>
    </row>
    <row r="7" spans="1:1">
      <c r="A7" s="1" t="s">
        <v>5</v>
      </c>
    </row>
    <row r="8" spans="1:1">
      <c r="A8" s="1" t="s">
        <v>6</v>
      </c>
    </row>
    <row r="9" spans="1:1">
      <c r="A9" s="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3"/>
  <sheetViews>
    <sheetView workbookViewId="0"/>
  </sheetViews>
  <sheetFormatPr defaultRowHeight="15"/>
  <cols>
    <col min="1" max="1" width="30.7109375" style="3" customWidth="1"/>
    <col min="2" max="2" width="110.7109375" style="1" customWidth="1"/>
  </cols>
  <sheetData>
    <row r="1" spans="1:2">
      <c r="A1" s="4" t="s">
        <v>8</v>
      </c>
      <c r="B1" s="4" t="s">
        <v>9</v>
      </c>
    </row>
    <row r="2" spans="1:2">
      <c r="A2" s="3" t="s">
        <v>10</v>
      </c>
      <c r="B2" s="1" t="s">
        <v>11</v>
      </c>
    </row>
    <row r="3" spans="1:2">
      <c r="A3" s="3" t="s">
        <v>12</v>
      </c>
      <c r="B3" s="1" t="s">
        <v>13</v>
      </c>
    </row>
    <row r="4" spans="1:2">
      <c r="A4" s="3" t="s">
        <v>14</v>
      </c>
      <c r="B4" s="1" t="s">
        <v>15</v>
      </c>
    </row>
    <row r="5" spans="1:2">
      <c r="A5" s="3" t="s">
        <v>16</v>
      </c>
      <c r="B5" s="1" t="s">
        <v>17</v>
      </c>
    </row>
    <row r="6" spans="1:2">
      <c r="A6" s="3" t="s">
        <v>18</v>
      </c>
      <c r="B6" s="1" t="s">
        <v>19</v>
      </c>
    </row>
    <row r="7" spans="1:2">
      <c r="A7" s="3" t="s">
        <v>20</v>
      </c>
      <c r="B7" s="1" t="s">
        <v>21</v>
      </c>
    </row>
    <row r="8" spans="1:2">
      <c r="A8" s="3" t="s">
        <v>22</v>
      </c>
      <c r="B8" s="1" t="s">
        <v>1</v>
      </c>
    </row>
    <row r="9" spans="1:2">
      <c r="A9" s="3" t="s">
        <v>23</v>
      </c>
      <c r="B9" s="1" t="s">
        <v>24</v>
      </c>
    </row>
    <row r="10" spans="1:2">
      <c r="A10" s="3" t="s">
        <v>25</v>
      </c>
      <c r="B10" s="1" t="s">
        <v>26</v>
      </c>
    </row>
    <row r="11" spans="1:2">
      <c r="A11" s="3" t="s">
        <v>27</v>
      </c>
      <c r="B11" s="1" t="s">
        <v>28</v>
      </c>
    </row>
    <row r="12" spans="1:2">
      <c r="A12" s="3" t="s">
        <v>29</v>
      </c>
      <c r="B12" s="1" t="s">
        <v>30</v>
      </c>
    </row>
    <row r="13" spans="1:2">
      <c r="A13" s="3" t="s">
        <v>31</v>
      </c>
      <c r="B13" s="1" t="s">
        <v>32</v>
      </c>
    </row>
    <row r="14" spans="1:2">
      <c r="A14" s="3" t="s">
        <v>33</v>
      </c>
      <c r="B14" s="1" t="s">
        <v>34</v>
      </c>
    </row>
    <row r="15" spans="1:2">
      <c r="A15" s="3" t="s">
        <v>35</v>
      </c>
      <c r="B15" s="1" t="s">
        <v>36</v>
      </c>
    </row>
    <row r="16" spans="1:2">
      <c r="A16" s="3" t="s">
        <v>37</v>
      </c>
      <c r="B16" s="1" t="s">
        <v>36</v>
      </c>
    </row>
    <row r="17" spans="1:2">
      <c r="A17" s="3" t="s">
        <v>38</v>
      </c>
      <c r="B17" s="1" t="s">
        <v>39</v>
      </c>
    </row>
    <row r="18" spans="1:2">
      <c r="A18" s="3" t="s">
        <v>40</v>
      </c>
      <c r="B18" s="1" t="s">
        <v>41</v>
      </c>
    </row>
    <row r="19" spans="1:2">
      <c r="A19" s="3" t="s">
        <v>42</v>
      </c>
      <c r="B19" s="1" t="s">
        <v>36</v>
      </c>
    </row>
    <row r="20" spans="1:2">
      <c r="A20" s="3" t="s">
        <v>43</v>
      </c>
      <c r="B20" s="1" t="s">
        <v>36</v>
      </c>
    </row>
    <row r="21" spans="1:2">
      <c r="A21" s="3" t="s">
        <v>44</v>
      </c>
      <c r="B21" s="1" t="s">
        <v>36</v>
      </c>
    </row>
    <row r="22" spans="1:2">
      <c r="A22" s="3" t="s">
        <v>45</v>
      </c>
      <c r="B22" s="1" t="s">
        <v>46</v>
      </c>
    </row>
    <row r="23" spans="1:2">
      <c r="A23" s="3" t="s">
        <v>47</v>
      </c>
      <c r="B23" s="1"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58.7109375" customWidth="1"/>
    <col min="3" max="5" width="9.7109375" customWidth="1"/>
    <col min="6" max="12" width="11.7109375" customWidth="1"/>
  </cols>
  <sheetData>
    <row r="1" spans="1:11">
      <c r="A1" s="4" t="s">
        <v>49</v>
      </c>
      <c r="B1" s="4" t="s">
        <v>50</v>
      </c>
      <c r="C1" s="4" t="s">
        <v>51</v>
      </c>
      <c r="D1" s="4" t="s">
        <v>52</v>
      </c>
      <c r="E1" s="4" t="s">
        <v>53</v>
      </c>
      <c r="F1" s="4" t="s">
        <v>54</v>
      </c>
      <c r="G1" s="4" t="s">
        <v>55</v>
      </c>
      <c r="H1" s="4" t="s">
        <v>56</v>
      </c>
      <c r="I1" s="4" t="s">
        <v>57</v>
      </c>
      <c r="J1" s="4" t="s">
        <v>58</v>
      </c>
      <c r="K1" s="4" t="s">
        <v>59</v>
      </c>
    </row>
    <row r="2" spans="1:11">
      <c r="A2" t="s">
        <v>60</v>
      </c>
      <c r="B2" t="s">
        <v>61</v>
      </c>
      <c r="C2" t="s">
        <v>62</v>
      </c>
      <c r="D2" t="s">
        <v>63</v>
      </c>
      <c r="E2" t="s">
        <v>64</v>
      </c>
      <c r="F2" s="5">
        <v>330.4</v>
      </c>
      <c r="G2" s="5">
        <v>341.2</v>
      </c>
      <c r="H2" s="5">
        <v>352.9</v>
      </c>
      <c r="I2" s="5">
        <v>380.4</v>
      </c>
      <c r="J2" s="5">
        <v>371.8</v>
      </c>
      <c r="K2" s="5">
        <v>412.6</v>
      </c>
    </row>
    <row r="3" spans="1:11">
      <c r="A3" t="s">
        <v>65</v>
      </c>
      <c r="B3" t="s">
        <v>66</v>
      </c>
      <c r="C3" t="s">
        <v>62</v>
      </c>
      <c r="D3" t="s">
        <v>63</v>
      </c>
      <c r="E3" t="s">
        <v>64</v>
      </c>
      <c r="F3" s="5">
        <v>17.2</v>
      </c>
      <c r="G3" s="5">
        <v>17.9</v>
      </c>
      <c r="H3" s="5">
        <v>18.7</v>
      </c>
      <c r="I3" s="5">
        <v>20.3</v>
      </c>
      <c r="J3" s="5">
        <v>19.6</v>
      </c>
      <c r="K3" s="5">
        <v>21.4</v>
      </c>
    </row>
    <row r="4" spans="1:11">
      <c r="A4" t="s">
        <v>67</v>
      </c>
      <c r="B4" t="s">
        <v>68</v>
      </c>
      <c r="C4" t="s">
        <v>62</v>
      </c>
      <c r="D4" t="s">
        <v>63</v>
      </c>
      <c r="E4" t="s">
        <v>64</v>
      </c>
      <c r="F4" s="5">
        <v>251.6</v>
      </c>
      <c r="G4" s="5">
        <v>262</v>
      </c>
      <c r="H4" s="5">
        <v>270.4</v>
      </c>
      <c r="I4" s="5">
        <v>279.1</v>
      </c>
      <c r="J4" s="5">
        <v>287.5</v>
      </c>
      <c r="K4" s="5">
        <v>298.3</v>
      </c>
    </row>
    <row r="5" spans="1:11">
      <c r="A5" t="s">
        <v>69</v>
      </c>
      <c r="B5" t="s">
        <v>70</v>
      </c>
      <c r="C5" t="s">
        <v>62</v>
      </c>
      <c r="D5" t="s">
        <v>63</v>
      </c>
      <c r="E5" t="s">
        <v>64</v>
      </c>
      <c r="F5" s="5">
        <v>14.9</v>
      </c>
      <c r="G5" s="5">
        <v>15.5</v>
      </c>
      <c r="H5" s="5">
        <v>16.1</v>
      </c>
      <c r="I5" s="5">
        <v>16.8</v>
      </c>
      <c r="J5" s="5">
        <v>17.4</v>
      </c>
      <c r="K5" s="5">
        <v>18.2</v>
      </c>
    </row>
    <row r="6" spans="1:11">
      <c r="A6" t="s">
        <v>71</v>
      </c>
      <c r="B6" t="s">
        <v>72</v>
      </c>
      <c r="C6" t="s">
        <v>62</v>
      </c>
      <c r="D6" t="s">
        <v>63</v>
      </c>
      <c r="E6" t="s">
        <v>64</v>
      </c>
      <c r="F6" s="5">
        <v>0</v>
      </c>
      <c r="G6" s="5">
        <v>0</v>
      </c>
      <c r="H6" s="5">
        <v>0</v>
      </c>
      <c r="I6" s="5">
        <v>0</v>
      </c>
      <c r="J6" s="5">
        <v>0</v>
      </c>
      <c r="K6" s="5">
        <v>0</v>
      </c>
    </row>
    <row r="7" spans="1:11">
      <c r="A7" t="s">
        <v>73</v>
      </c>
      <c r="B7" t="s">
        <v>74</v>
      </c>
      <c r="C7" t="s">
        <v>62</v>
      </c>
      <c r="D7" t="s">
        <v>63</v>
      </c>
      <c r="E7" t="s">
        <v>64</v>
      </c>
      <c r="F7" s="5">
        <v>146.3</v>
      </c>
      <c r="G7" s="5">
        <v>152</v>
      </c>
      <c r="H7" s="5">
        <v>157.2</v>
      </c>
      <c r="I7" s="5">
        <v>165.4</v>
      </c>
      <c r="J7" s="5">
        <v>166.2</v>
      </c>
      <c r="K7" s="5">
        <v>178.9</v>
      </c>
    </row>
    <row r="8" spans="1:11">
      <c r="A8" s="6" t="s">
        <v>75</v>
      </c>
      <c r="B8" s="6" t="s">
        <v>76</v>
      </c>
      <c r="C8" s="6" t="s">
        <v>62</v>
      </c>
      <c r="D8" s="6" t="s">
        <v>77</v>
      </c>
      <c r="E8" s="6" t="s">
        <v>64</v>
      </c>
      <c r="F8" s="7">
        <f>ROUND(F2+F3+F4+F5+F6-F7,1)</f>
        <v>467.8</v>
      </c>
      <c r="G8" s="7">
        <f>ROUND(G2+G3+G4+G5+G6-G7,1)</f>
        <v>484.6</v>
      </c>
      <c r="H8" s="7">
        <f>ROUND(H2+H3+H4+H5+H6-H7,1)</f>
        <v>500.9</v>
      </c>
      <c r="I8" s="7">
        <f>ROUND(I2+I3+I4+I5+I6-I7,1)</f>
        <v>531.2</v>
      </c>
      <c r="J8" s="7">
        <f>ROUND(J2+J3+J4+J5+J6-J7,1)</f>
        <v>530.1</v>
      </c>
      <c r="K8" s="7">
        <f>ROUND(K2+K3+K4+K5+K6-K7,1)</f>
        <v>571.6</v>
      </c>
    </row>
    <row r="9" spans="1:11">
      <c r="A9" t="s">
        <v>78</v>
      </c>
      <c r="B9" t="s">
        <v>79</v>
      </c>
      <c r="C9" t="s">
        <v>62</v>
      </c>
      <c r="D9" t="s">
        <v>63</v>
      </c>
      <c r="E9" t="s">
        <v>64</v>
      </c>
      <c r="F9" s="5">
        <v>28.5</v>
      </c>
      <c r="G9" s="5">
        <v>29.1</v>
      </c>
      <c r="H9" s="5">
        <v>29.6</v>
      </c>
      <c r="I9" s="5">
        <v>30.2</v>
      </c>
      <c r="J9" s="5">
        <v>30.9</v>
      </c>
      <c r="K9" s="5">
        <v>31.7</v>
      </c>
    </row>
    <row r="10" spans="1:11">
      <c r="A10" t="s">
        <v>80</v>
      </c>
      <c r="B10" t="s">
        <v>81</v>
      </c>
      <c r="C10" t="s">
        <v>62</v>
      </c>
      <c r="D10" t="s">
        <v>63</v>
      </c>
      <c r="E10" t="s">
        <v>64</v>
      </c>
      <c r="F10" s="5">
        <v>80.2</v>
      </c>
      <c r="G10" s="5">
        <v>84.09999999999999</v>
      </c>
      <c r="H10" s="5">
        <v>88.59999999999999</v>
      </c>
      <c r="I10" s="5">
        <v>94.8</v>
      </c>
      <c r="J10" s="5">
        <v>90.3</v>
      </c>
      <c r="K10" s="5">
        <v>96.40000000000001</v>
      </c>
    </row>
    <row r="11" spans="1:11">
      <c r="A11" t="s">
        <v>82</v>
      </c>
      <c r="B11" t="s">
        <v>83</v>
      </c>
      <c r="C11" t="s">
        <v>62</v>
      </c>
      <c r="D11" t="s">
        <v>63</v>
      </c>
      <c r="E11" t="s">
        <v>64</v>
      </c>
      <c r="F11" s="5">
        <v>59.6</v>
      </c>
      <c r="G11" s="5">
        <v>61.8</v>
      </c>
      <c r="H11" s="5">
        <v>64</v>
      </c>
      <c r="I11" s="5">
        <v>68.90000000000001</v>
      </c>
      <c r="J11" s="5">
        <v>71.5</v>
      </c>
      <c r="K11" s="5">
        <v>74.2</v>
      </c>
    </row>
    <row r="12" spans="1:11">
      <c r="A12" s="6" t="s">
        <v>84</v>
      </c>
      <c r="B12" s="6" t="s">
        <v>85</v>
      </c>
      <c r="C12" s="6" t="s">
        <v>62</v>
      </c>
      <c r="D12" s="6" t="s">
        <v>77</v>
      </c>
      <c r="E12" s="6" t="s">
        <v>64</v>
      </c>
      <c r="F12" s="7">
        <f>ROUND(F8+F9-F10-F11,1)</f>
        <v>356.5</v>
      </c>
      <c r="G12" s="7">
        <f>ROUND(G8+G9-G10-G11,1)</f>
        <v>367.8</v>
      </c>
      <c r="H12" s="7">
        <f>ROUND(H8+H9-H10-H11,1)</f>
        <v>377.9</v>
      </c>
      <c r="I12" s="7">
        <f>ROUND(I8+I9-I10-I11,1)</f>
        <v>397.7</v>
      </c>
      <c r="J12" s="7">
        <f>ROUND(J8+J9-J10-J11,1)</f>
        <v>399.2</v>
      </c>
      <c r="K12" s="7">
        <f>ROUND(K8+K9-K10-K11,1)</f>
        <v>432.7</v>
      </c>
    </row>
    <row r="13" spans="1:11">
      <c r="A13" t="s">
        <v>86</v>
      </c>
      <c r="B13" t="s">
        <v>87</v>
      </c>
      <c r="C13" t="s">
        <v>62</v>
      </c>
      <c r="D13" t="s">
        <v>63</v>
      </c>
      <c r="E13" t="s">
        <v>64</v>
      </c>
      <c r="F13" s="5">
        <v>115.6</v>
      </c>
      <c r="G13" s="5">
        <v>119.3</v>
      </c>
      <c r="H13" s="5">
        <v>122.7</v>
      </c>
      <c r="I13" s="5">
        <v>129.6</v>
      </c>
      <c r="J13" s="5">
        <v>131.8</v>
      </c>
      <c r="K13" s="5">
        <v>140.6</v>
      </c>
    </row>
    <row r="14" spans="1:11">
      <c r="A14" t="s">
        <v>88</v>
      </c>
      <c r="B14" t="s">
        <v>89</v>
      </c>
      <c r="C14" t="s">
        <v>62</v>
      </c>
      <c r="D14" t="s">
        <v>63</v>
      </c>
      <c r="E14" t="s">
        <v>90</v>
      </c>
      <c r="F14" s="5">
        <v>624</v>
      </c>
      <c r="G14" s="5">
        <v>720.9</v>
      </c>
      <c r="H14" s="5">
        <v>759.6</v>
      </c>
      <c r="I14" s="5">
        <v>577.8</v>
      </c>
      <c r="J14" s="5">
        <v>600.6</v>
      </c>
      <c r="K14" s="5">
        <v>568</v>
      </c>
    </row>
    <row r="15" spans="1:11">
      <c r="A15" t="s">
        <v>91</v>
      </c>
      <c r="B15" t="s">
        <v>92</v>
      </c>
      <c r="C15" t="s">
        <v>62</v>
      </c>
      <c r="D15" t="s">
        <v>63</v>
      </c>
      <c r="E15" t="s">
        <v>90</v>
      </c>
      <c r="F15" s="5">
        <v>0</v>
      </c>
      <c r="G15" s="5">
        <v>0</v>
      </c>
      <c r="H15" s="5">
        <v>0</v>
      </c>
      <c r="I15" s="5">
        <v>150</v>
      </c>
      <c r="J15" s="5">
        <v>150</v>
      </c>
      <c r="K15" s="5">
        <v>150</v>
      </c>
    </row>
    <row r="16" spans="1:11">
      <c r="A16" t="s">
        <v>93</v>
      </c>
      <c r="B16" t="s">
        <v>94</v>
      </c>
      <c r="C16" t="s">
        <v>62</v>
      </c>
      <c r="D16" t="s">
        <v>63</v>
      </c>
      <c r="E16" t="s">
        <v>90</v>
      </c>
      <c r="F16" s="5">
        <v>0</v>
      </c>
      <c r="G16" s="5">
        <v>0</v>
      </c>
      <c r="H16" s="5">
        <v>0</v>
      </c>
      <c r="I16" s="5">
        <v>0</v>
      </c>
      <c r="J16" s="5">
        <v>0</v>
      </c>
      <c r="K16" s="5">
        <v>0</v>
      </c>
    </row>
    <row r="17" spans="1:11">
      <c r="A17" s="6" t="s">
        <v>95</v>
      </c>
      <c r="B17" s="6" t="s">
        <v>96</v>
      </c>
      <c r="C17" s="6" t="s">
        <v>62</v>
      </c>
      <c r="D17" s="6" t="s">
        <v>77</v>
      </c>
      <c r="E17" s="6" t="s">
        <v>90</v>
      </c>
      <c r="F17" s="7">
        <f>ROUND(F14+F15+F16,1)</f>
        <v>624.0</v>
      </c>
      <c r="G17" s="7">
        <f>ROUND(G14+G15+G16,1)</f>
        <v>720.9</v>
      </c>
      <c r="H17" s="7">
        <f>ROUND(H14+H15+H16,1)</f>
        <v>759.6</v>
      </c>
      <c r="I17" s="7">
        <f>ROUND(I14+I15+I16,1)</f>
        <v>727.8</v>
      </c>
      <c r="J17" s="7">
        <f>ROUND(J14+J15+J16,1)</f>
        <v>750.6</v>
      </c>
      <c r="K17" s="7">
        <f>ROUND(K14+K15+K16,1)</f>
        <v>718.0</v>
      </c>
    </row>
    <row r="18" spans="1:11">
      <c r="A18" s="6" t="s">
        <v>97</v>
      </c>
      <c r="B18" s="6" t="s">
        <v>98</v>
      </c>
      <c r="C18" s="6" t="s">
        <v>62</v>
      </c>
      <c r="D18" s="6" t="s">
        <v>77</v>
      </c>
      <c r="E18" s="6" t="s">
        <v>90</v>
      </c>
      <c r="F18" s="7">
        <f>F14</f>
        <v>624.0</v>
      </c>
      <c r="G18" s="7">
        <f>G14</f>
        <v>720.9</v>
      </c>
      <c r="H18" s="7">
        <f>H14</f>
        <v>759.6</v>
      </c>
      <c r="I18" s="7">
        <f>I14</f>
        <v>577.8</v>
      </c>
      <c r="J18" s="7">
        <f>J14</f>
        <v>600.6</v>
      </c>
      <c r="K18" s="7">
        <f>K14</f>
        <v>568.0</v>
      </c>
    </row>
    <row r="19" spans="1:11">
      <c r="A19" s="6" t="s">
        <v>99</v>
      </c>
      <c r="B19" s="6" t="s">
        <v>100</v>
      </c>
      <c r="C19" s="6" t="s">
        <v>62</v>
      </c>
      <c r="D19" s="6" t="s">
        <v>77</v>
      </c>
      <c r="E19" s="6" t="s">
        <v>90</v>
      </c>
      <c r="F19" s="7">
        <f>ROUND(MAX(0,MIN(F15,0.5*F12-MIN(F16,0.15*F12))),1)</f>
        <v>0.0</v>
      </c>
      <c r="G19" s="7">
        <f>ROUND(MAX(0,MIN(G15,0.5*G12-MIN(G16,0.15*G12))),1)</f>
        <v>0.0</v>
      </c>
      <c r="H19" s="7">
        <f>ROUND(MAX(0,MIN(H15,0.5*H12-MIN(H16,0.15*H12))),1)</f>
        <v>0.0</v>
      </c>
      <c r="I19" s="7">
        <f>ROUND(MAX(0,MIN(I15,0.5*I12-MIN(I16,0.15*I12))),1)</f>
        <v>150.0</v>
      </c>
      <c r="J19" s="7">
        <f>ROUND(MAX(0,MIN(J15,0.5*J12-MIN(J16,0.15*J12))),1)</f>
        <v>150.0</v>
      </c>
      <c r="K19" s="7">
        <f>ROUND(MAX(0,MIN(K15,0.5*K12-MIN(K16,0.15*K12))),1)</f>
        <v>150.0</v>
      </c>
    </row>
    <row r="20" spans="1:11">
      <c r="A20" s="6" t="s">
        <v>101</v>
      </c>
      <c r="B20" s="6" t="s">
        <v>102</v>
      </c>
      <c r="C20" s="6" t="s">
        <v>62</v>
      </c>
      <c r="D20" s="6" t="s">
        <v>77</v>
      </c>
      <c r="E20" s="6" t="s">
        <v>90</v>
      </c>
      <c r="F20" s="7">
        <f>ROUND(MIN(F16,0.15*F12),1)</f>
        <v>0.0</v>
      </c>
      <c r="G20" s="7">
        <f>ROUND(MIN(G16,0.15*G12),1)</f>
        <v>0.0</v>
      </c>
      <c r="H20" s="7">
        <f>ROUND(MIN(H16,0.15*H12),1)</f>
        <v>0.0</v>
      </c>
      <c r="I20" s="7">
        <f>ROUND(MIN(I16,0.15*I12),1)</f>
        <v>0.0</v>
      </c>
      <c r="J20" s="7">
        <f>ROUND(MIN(J16,0.15*J12),1)</f>
        <v>0.0</v>
      </c>
      <c r="K20" s="7">
        <f>ROUND(MIN(K16,0.15*K12),1)</f>
        <v>0.0</v>
      </c>
    </row>
    <row r="21" spans="1:11">
      <c r="A21" s="6" t="s">
        <v>103</v>
      </c>
      <c r="B21" s="6" t="s">
        <v>104</v>
      </c>
      <c r="C21" s="6" t="s">
        <v>62</v>
      </c>
      <c r="D21" s="6" t="s">
        <v>77</v>
      </c>
      <c r="E21" s="6" t="s">
        <v>90</v>
      </c>
      <c r="F21" s="7">
        <f>ROUND(F18+F19+F20,1)</f>
        <v>624.0</v>
      </c>
      <c r="G21" s="7">
        <f>ROUND(G18+G19+G20,1)</f>
        <v>720.9</v>
      </c>
      <c r="H21" s="7">
        <f>ROUND(H18+H19+H20,1)</f>
        <v>759.6</v>
      </c>
      <c r="I21" s="7">
        <f>ROUND(I18+I19+I20,1)</f>
        <v>727.8</v>
      </c>
      <c r="J21" s="7">
        <f>ROUND(J18+J19+J20,1)</f>
        <v>750.6</v>
      </c>
      <c r="K21" s="7">
        <f>ROUND(K18+K19+K20,1)</f>
        <v>718.0</v>
      </c>
    </row>
    <row r="22" spans="1:11">
      <c r="A22" s="6" t="s">
        <v>105</v>
      </c>
      <c r="B22" s="6" t="s">
        <v>106</v>
      </c>
      <c r="C22" s="6" t="s">
        <v>62</v>
      </c>
      <c r="D22" s="6" t="s">
        <v>77</v>
      </c>
      <c r="E22" s="6" t="s">
        <v>90</v>
      </c>
      <c r="F22" s="7">
        <f>F14</f>
        <v>624.0</v>
      </c>
      <c r="G22" s="7">
        <f>G14</f>
        <v>720.9</v>
      </c>
      <c r="H22" s="7">
        <f>H14</f>
        <v>759.6</v>
      </c>
      <c r="I22" s="7">
        <f>I14</f>
        <v>577.8</v>
      </c>
      <c r="J22" s="7">
        <f>J14</f>
        <v>600.6</v>
      </c>
      <c r="K22" s="7">
        <f>K14</f>
        <v>568.0</v>
      </c>
    </row>
    <row r="23" spans="1:11">
      <c r="A23" s="6" t="s">
        <v>107</v>
      </c>
      <c r="B23" s="6" t="s">
        <v>108</v>
      </c>
      <c r="C23" s="6" t="s">
        <v>62</v>
      </c>
      <c r="D23" s="6" t="s">
        <v>77</v>
      </c>
      <c r="E23" s="6" t="s">
        <v>90</v>
      </c>
      <c r="F23" s="7">
        <f>ROUND(MIN(F15,0.2*F13),1)</f>
        <v>0.0</v>
      </c>
      <c r="G23" s="7">
        <f>ROUND(MIN(G15,0.2*G13),1)</f>
        <v>0.0</v>
      </c>
      <c r="H23" s="7">
        <f>ROUND(MIN(H15,0.2*H13),1)</f>
        <v>0.0</v>
      </c>
      <c r="I23" s="7">
        <f>ROUND(MIN(I15,0.2*I13),1)</f>
        <v>25.9</v>
      </c>
      <c r="J23" s="7">
        <f>ROUND(MIN(J15,0.2*J13),1)</f>
        <v>26.4</v>
      </c>
      <c r="K23" s="7">
        <f>ROUND(MIN(K15,0.2*K13),1)</f>
        <v>28.1</v>
      </c>
    </row>
    <row r="24" spans="1:11">
      <c r="A24" s="6" t="s">
        <v>109</v>
      </c>
      <c r="B24" s="6" t="s">
        <v>110</v>
      </c>
      <c r="C24" s="6" t="s">
        <v>62</v>
      </c>
      <c r="D24" s="6" t="s">
        <v>77</v>
      </c>
      <c r="E24" s="6" t="s">
        <v>90</v>
      </c>
      <c r="F24" s="7">
        <f>ROUND(F22+F23,1)</f>
        <v>624.0</v>
      </c>
      <c r="G24" s="7">
        <f>ROUND(G22+G23,1)</f>
        <v>720.9</v>
      </c>
      <c r="H24" s="7">
        <f>ROUND(H22+H23,1)</f>
        <v>759.6</v>
      </c>
      <c r="I24" s="7">
        <f>ROUND(I22+I23,1)</f>
        <v>603.7</v>
      </c>
      <c r="J24" s="7">
        <f>ROUND(J22+J23,1)</f>
        <v>627.0</v>
      </c>
      <c r="K24" s="7">
        <f>ROUND(K22+K23,1)</f>
        <v>596.1</v>
      </c>
    </row>
    <row r="25" spans="1:11">
      <c r="A25" s="6" t="s">
        <v>111</v>
      </c>
      <c r="B25" s="6" t="s">
        <v>112</v>
      </c>
      <c r="C25" s="6" t="s">
        <v>62</v>
      </c>
      <c r="D25" s="6" t="s">
        <v>77</v>
      </c>
      <c r="E25" s="6" t="s">
        <v>90</v>
      </c>
      <c r="F25" s="7">
        <f>ROUND(F17-F21,1)</f>
        <v>0.0</v>
      </c>
      <c r="G25" s="7">
        <f>ROUND(G17-G21,1)</f>
        <v>0.0</v>
      </c>
      <c r="H25" s="7">
        <f>ROUND(H17-H21,1)</f>
        <v>0.0</v>
      </c>
      <c r="I25" s="7">
        <f>ROUND(I17-I21,1)</f>
        <v>0.0</v>
      </c>
      <c r="J25" s="7">
        <f>ROUND(J17-J21,1)</f>
        <v>0.0</v>
      </c>
      <c r="K25" s="7">
        <f>ROUND(K17-K21,1)</f>
        <v>0.0</v>
      </c>
    </row>
    <row r="26" spans="1:11">
      <c r="A26" s="6" t="s">
        <v>113</v>
      </c>
      <c r="B26" s="6" t="s">
        <v>114</v>
      </c>
      <c r="C26" s="6" t="s">
        <v>115</v>
      </c>
      <c r="D26" s="6" t="s">
        <v>77</v>
      </c>
      <c r="E26" s="6" t="s">
        <v>64</v>
      </c>
      <c r="F26" s="8">
        <f>100*F21/F12</f>
        <v>175.035063</v>
      </c>
      <c r="G26" s="8">
        <f>100*G21/G12</f>
        <v>196.003263</v>
      </c>
      <c r="H26" s="8">
        <f>100*H21/H12</f>
        <v>201.005557</v>
      </c>
      <c r="I26" s="8">
        <f>100*I21/I12</f>
        <v>183.002263</v>
      </c>
      <c r="J26" s="8">
        <f>100*J21/J12</f>
        <v>188.026052</v>
      </c>
      <c r="K26" s="8">
        <f>100*K21/K12</f>
        <v>165.934828</v>
      </c>
    </row>
    <row r="27" spans="1:11">
      <c r="A27" s="6" t="s">
        <v>116</v>
      </c>
      <c r="B27" s="6" t="s">
        <v>117</v>
      </c>
      <c r="C27" s="6" t="s">
        <v>115</v>
      </c>
      <c r="D27" s="6" t="s">
        <v>77</v>
      </c>
      <c r="E27" s="6" t="s">
        <v>64</v>
      </c>
      <c r="F27" s="8">
        <f>100*F24/F13</f>
        <v>539.792388</v>
      </c>
      <c r="G27" s="8">
        <f>100*G24/G13</f>
        <v>604.274937</v>
      </c>
      <c r="H27" s="8">
        <f>100*H24/H13</f>
        <v>619.070905</v>
      </c>
      <c r="I27" s="8">
        <f>100*I24/I13</f>
        <v>465.817901</v>
      </c>
      <c r="J27" s="8">
        <f>100*J24/J13</f>
        <v>475.720789</v>
      </c>
      <c r="K27" s="8">
        <f>100*K24/K13</f>
        <v>423.968706</v>
      </c>
    </row>
    <row r="28" spans="1:11">
      <c r="A28" t="s">
        <v>118</v>
      </c>
      <c r="B28" t="s">
        <v>119</v>
      </c>
      <c r="C28" t="s">
        <v>62</v>
      </c>
      <c r="D28" t="s">
        <v>63</v>
      </c>
      <c r="E28" t="s">
        <v>120</v>
      </c>
      <c r="F28" s="5">
        <v>513.1</v>
      </c>
      <c r="G28" s="5">
        <v>578.3</v>
      </c>
      <c r="H28" s="5">
        <v>607.6</v>
      </c>
      <c r="I28" s="5">
        <v>454.8</v>
      </c>
      <c r="J28" s="5">
        <v>479.6</v>
      </c>
      <c r="K28" s="5">
        <v>450.2</v>
      </c>
    </row>
    <row r="29" spans="1:11">
      <c r="A29" t="s">
        <v>121</v>
      </c>
      <c r="B29" t="s">
        <v>122</v>
      </c>
      <c r="C29" t="s">
        <v>62</v>
      </c>
      <c r="D29" t="s">
        <v>63</v>
      </c>
      <c r="E29" t="s">
        <v>120</v>
      </c>
      <c r="F29" s="5">
        <v>212.4</v>
      </c>
      <c r="G29" s="5">
        <v>254.8</v>
      </c>
      <c r="H29" s="5">
        <v>268.1</v>
      </c>
      <c r="I29" s="5">
        <v>198.7</v>
      </c>
      <c r="J29" s="5">
        <v>214.3</v>
      </c>
      <c r="K29" s="5">
        <v>201.5</v>
      </c>
    </row>
    <row r="30" spans="1:11">
      <c r="A30" t="s">
        <v>123</v>
      </c>
      <c r="B30" t="s">
        <v>124</v>
      </c>
      <c r="C30" t="s">
        <v>62</v>
      </c>
      <c r="D30" t="s">
        <v>63</v>
      </c>
      <c r="E30" t="s">
        <v>120</v>
      </c>
      <c r="F30" s="5">
        <v>-31.2</v>
      </c>
      <c r="G30" s="5">
        <v>-29.8</v>
      </c>
      <c r="H30" s="5">
        <v>-28.5</v>
      </c>
      <c r="I30" s="5">
        <v>-27.1</v>
      </c>
      <c r="J30" s="5">
        <v>-25.9</v>
      </c>
      <c r="K30" s="5">
        <v>-24.4</v>
      </c>
    </row>
    <row r="31" spans="1:11">
      <c r="A31" t="s">
        <v>125</v>
      </c>
      <c r="B31" t="s">
        <v>126</v>
      </c>
      <c r="C31" t="s">
        <v>62</v>
      </c>
      <c r="D31" t="s">
        <v>63</v>
      </c>
      <c r="E31" t="s">
        <v>120</v>
      </c>
      <c r="F31" s="5">
        <v>-52.3</v>
      </c>
      <c r="G31" s="5">
        <v>-62.4</v>
      </c>
      <c r="H31" s="5">
        <v>-65.59999999999999</v>
      </c>
      <c r="I31" s="5">
        <v>-48.6</v>
      </c>
      <c r="J31" s="5">
        <v>-52.4</v>
      </c>
      <c r="K31" s="5">
        <v>-49.3</v>
      </c>
    </row>
    <row r="32" spans="1:11">
      <c r="A32" t="s">
        <v>127</v>
      </c>
      <c r="B32" t="s">
        <v>128</v>
      </c>
      <c r="C32" t="s">
        <v>62</v>
      </c>
      <c r="D32" t="s">
        <v>63</v>
      </c>
      <c r="E32" t="s">
        <v>120</v>
      </c>
      <c r="F32" s="5">
        <v>0</v>
      </c>
      <c r="G32" s="5">
        <v>0</v>
      </c>
      <c r="H32" s="5">
        <v>0</v>
      </c>
      <c r="I32" s="5">
        <v>0</v>
      </c>
      <c r="J32" s="5">
        <v>0</v>
      </c>
      <c r="K32" s="5">
        <v>0</v>
      </c>
    </row>
    <row r="33" spans="1:11">
      <c r="A33" s="6" t="s">
        <v>129</v>
      </c>
      <c r="B33" s="6" t="s">
        <v>130</v>
      </c>
      <c r="C33" s="6" t="s">
        <v>62</v>
      </c>
      <c r="D33" s="6" t="s">
        <v>77</v>
      </c>
      <c r="E33" s="6" t="s">
        <v>120</v>
      </c>
      <c r="F33" s="7">
        <f>ROUND(F28+F29+F30+F31+F32,1)</f>
        <v>642.0</v>
      </c>
      <c r="G33" s="7">
        <f>ROUND(G28+G29+G30+G31+G32,1)</f>
        <v>740.9</v>
      </c>
      <c r="H33" s="7">
        <f>ROUND(H28+H29+H30+H31+H32,1)</f>
        <v>781.6</v>
      </c>
      <c r="I33" s="7">
        <f>ROUND(I28+I29+I30+I31+I32,1)</f>
        <v>577.8</v>
      </c>
      <c r="J33" s="7">
        <f>ROUND(J28+J29+J30+J31+J32,1)</f>
        <v>615.6</v>
      </c>
      <c r="K33" s="7">
        <f>ROUND(K28+K29+K30+K31+K32,1)</f>
        <v>578.0</v>
      </c>
    </row>
    <row r="34" spans="1:11">
      <c r="A34" t="s">
        <v>131</v>
      </c>
      <c r="B34" t="s">
        <v>132</v>
      </c>
      <c r="C34" t="s">
        <v>62</v>
      </c>
      <c r="D34" t="s">
        <v>63</v>
      </c>
      <c r="E34" t="s">
        <v>90</v>
      </c>
      <c r="F34" s="5">
        <v>18</v>
      </c>
      <c r="G34" s="5">
        <v>20</v>
      </c>
      <c r="H34" s="5">
        <v>22</v>
      </c>
      <c r="I34" s="5">
        <v>0</v>
      </c>
      <c r="J34" s="5">
        <v>15</v>
      </c>
      <c r="K34" s="5">
        <v>10</v>
      </c>
    </row>
    <row r="35" spans="1:11">
      <c r="A35" t="s">
        <v>133</v>
      </c>
      <c r="B35" t="s">
        <v>134</v>
      </c>
      <c r="C35" t="s">
        <v>62</v>
      </c>
      <c r="D35" t="s">
        <v>63</v>
      </c>
      <c r="E35" t="s">
        <v>90</v>
      </c>
      <c r="F35" s="5">
        <v>0</v>
      </c>
      <c r="G35" s="5">
        <v>0</v>
      </c>
      <c r="H35" s="5">
        <v>0</v>
      </c>
      <c r="I35" s="5">
        <v>150</v>
      </c>
      <c r="J35" s="5">
        <v>150</v>
      </c>
      <c r="K35" s="5">
        <v>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3"/>
  <sheetViews>
    <sheetView workbookViewId="0"/>
  </sheetViews>
  <sheetFormatPr defaultRowHeight="15"/>
  <cols>
    <col min="1" max="2" width="7.7109375" customWidth="1"/>
    <col min="3" max="3" width="24.7109375" customWidth="1"/>
    <col min="4" max="4" width="120.7109375" style="1" customWidth="1"/>
  </cols>
  <sheetData>
    <row r="1" spans="1:4">
      <c r="A1" s="4" t="s">
        <v>135</v>
      </c>
      <c r="B1" s="4" t="s">
        <v>49</v>
      </c>
      <c r="C1" s="4" t="s">
        <v>136</v>
      </c>
      <c r="D1" s="4" t="s">
        <v>137</v>
      </c>
    </row>
    <row r="2" spans="1:4">
      <c r="A2" s="1">
        <v>2022</v>
      </c>
      <c r="B2" s="1" t="s">
        <v>138</v>
      </c>
      <c r="C2" s="1" t="s">
        <v>139</v>
      </c>
      <c r="D2" s="1" t="s">
        <v>140</v>
      </c>
    </row>
    <row r="3" spans="1:4">
      <c r="A3" s="1">
        <v>2022</v>
      </c>
      <c r="B3" s="1" t="s">
        <v>141</v>
      </c>
      <c r="C3" s="1" t="s">
        <v>142</v>
      </c>
      <c r="D3" s="1" t="s">
        <v>143</v>
      </c>
    </row>
    <row r="4" spans="1:4">
      <c r="A4" s="1">
        <v>2022</v>
      </c>
      <c r="B4" s="1" t="s">
        <v>144</v>
      </c>
      <c r="C4" s="1" t="s">
        <v>145</v>
      </c>
      <c r="D4" s="1" t="s">
        <v>146</v>
      </c>
    </row>
    <row r="5" spans="1:4">
      <c r="A5" s="1">
        <v>2022</v>
      </c>
      <c r="B5" s="1" t="s">
        <v>147</v>
      </c>
      <c r="C5" s="1" t="s">
        <v>148</v>
      </c>
      <c r="D5" s="1" t="s">
        <v>149</v>
      </c>
    </row>
    <row r="6" spans="1:4">
      <c r="A6" s="1">
        <v>2023</v>
      </c>
      <c r="B6" s="1" t="s">
        <v>138</v>
      </c>
      <c r="C6" s="1" t="s">
        <v>150</v>
      </c>
      <c r="D6" s="1" t="s">
        <v>151</v>
      </c>
    </row>
    <row r="7" spans="1:4">
      <c r="A7" s="1">
        <v>2023</v>
      </c>
      <c r="B7" s="1" t="s">
        <v>141</v>
      </c>
      <c r="C7" s="1" t="s">
        <v>152</v>
      </c>
      <c r="D7" s="1" t="s">
        <v>153</v>
      </c>
    </row>
    <row r="8" spans="1:4">
      <c r="A8" s="1">
        <v>2023</v>
      </c>
      <c r="B8" s="1" t="s">
        <v>144</v>
      </c>
      <c r="C8" s="1" t="s">
        <v>148</v>
      </c>
      <c r="D8" s="1" t="s">
        <v>154</v>
      </c>
    </row>
    <row r="9" spans="1:4">
      <c r="A9" s="1">
        <v>2023</v>
      </c>
      <c r="B9" s="1" t="s">
        <v>147</v>
      </c>
      <c r="C9" s="1" t="s">
        <v>155</v>
      </c>
      <c r="D9" s="1" t="s">
        <v>156</v>
      </c>
    </row>
    <row r="10" spans="1:4">
      <c r="A10" s="1">
        <v>2024</v>
      </c>
      <c r="B10" s="1" t="s">
        <v>138</v>
      </c>
      <c r="C10" s="1" t="s">
        <v>139</v>
      </c>
      <c r="D10" s="1" t="s">
        <v>157</v>
      </c>
    </row>
    <row r="11" spans="1:4">
      <c r="A11" s="1">
        <v>2024</v>
      </c>
      <c r="B11" s="1" t="s">
        <v>141</v>
      </c>
      <c r="C11" s="1" t="s">
        <v>158</v>
      </c>
      <c r="D11" s="1" t="s">
        <v>159</v>
      </c>
    </row>
    <row r="12" spans="1:4">
      <c r="A12" s="1">
        <v>2024</v>
      </c>
      <c r="B12" s="1" t="s">
        <v>144</v>
      </c>
      <c r="C12" s="1" t="s">
        <v>160</v>
      </c>
      <c r="D12" s="1" t="s">
        <v>161</v>
      </c>
    </row>
    <row r="13" spans="1:4">
      <c r="A13" s="1">
        <v>2024</v>
      </c>
      <c r="B13" s="1" t="s">
        <v>147</v>
      </c>
      <c r="C13" s="1" t="s">
        <v>148</v>
      </c>
      <c r="D13" s="1" t="s">
        <v>162</v>
      </c>
    </row>
    <row r="14" spans="1:4">
      <c r="A14" s="1">
        <v>2025</v>
      </c>
      <c r="B14" s="1" t="s">
        <v>138</v>
      </c>
      <c r="C14" s="1" t="s">
        <v>163</v>
      </c>
      <c r="D14" s="1" t="s">
        <v>164</v>
      </c>
    </row>
    <row r="15" spans="1:4">
      <c r="A15" s="1">
        <v>2025</v>
      </c>
      <c r="B15" s="1" t="s">
        <v>141</v>
      </c>
      <c r="C15" s="1" t="s">
        <v>165</v>
      </c>
      <c r="D15" s="1" t="s">
        <v>166</v>
      </c>
    </row>
    <row r="16" spans="1:4">
      <c r="A16" s="1">
        <v>2025</v>
      </c>
      <c r="B16" s="1" t="s">
        <v>144</v>
      </c>
      <c r="C16" s="1" t="s">
        <v>167</v>
      </c>
      <c r="D16" s="1" t="s">
        <v>168</v>
      </c>
    </row>
    <row r="17" spans="1:4">
      <c r="A17" s="1">
        <v>2025</v>
      </c>
      <c r="B17" s="1" t="s">
        <v>147</v>
      </c>
      <c r="C17" s="1" t="s">
        <v>148</v>
      </c>
      <c r="D17" s="1" t="s">
        <v>169</v>
      </c>
    </row>
    <row r="18" spans="1:4">
      <c r="A18" s="1">
        <v>2026</v>
      </c>
      <c r="B18" s="1" t="s">
        <v>138</v>
      </c>
      <c r="C18" s="1" t="s">
        <v>139</v>
      </c>
      <c r="D18" s="1" t="s">
        <v>170</v>
      </c>
    </row>
    <row r="19" spans="1:4">
      <c r="A19" s="1">
        <v>2026</v>
      </c>
      <c r="B19" s="1" t="s">
        <v>141</v>
      </c>
      <c r="C19" s="1" t="s">
        <v>171</v>
      </c>
      <c r="D19" s="1" t="s">
        <v>172</v>
      </c>
    </row>
    <row r="20" spans="1:4">
      <c r="A20" s="1">
        <v>2026</v>
      </c>
      <c r="B20" s="1" t="s">
        <v>144</v>
      </c>
      <c r="C20" s="1" t="s">
        <v>173</v>
      </c>
      <c r="D20" s="1" t="s">
        <v>174</v>
      </c>
    </row>
    <row r="21" spans="1:4">
      <c r="A21" s="1">
        <v>2026</v>
      </c>
      <c r="B21" s="1" t="s">
        <v>147</v>
      </c>
      <c r="C21" s="1" t="s">
        <v>148</v>
      </c>
      <c r="D21" s="1" t="s">
        <v>175</v>
      </c>
    </row>
    <row r="22" spans="1:4">
      <c r="A22" s="1">
        <v>2026</v>
      </c>
      <c r="B22" s="1" t="s">
        <v>176</v>
      </c>
      <c r="C22" s="1" t="s">
        <v>177</v>
      </c>
      <c r="D22" s="1" t="s">
        <v>178</v>
      </c>
    </row>
    <row r="23" spans="1:4">
      <c r="A23" s="1">
        <v>2026</v>
      </c>
      <c r="B23" s="1" t="s">
        <v>179</v>
      </c>
      <c r="C23" s="1" t="s">
        <v>180</v>
      </c>
      <c r="D23" s="1" t="s">
        <v>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9"/>
  <sheetViews>
    <sheetView workbookViewId="0"/>
  </sheetViews>
  <sheetFormatPr defaultRowHeight="15"/>
  <cols>
    <col min="1" max="2" width="8.7109375" customWidth="1"/>
    <col min="3" max="3" width="18.7109375" customWidth="1"/>
    <col min="4" max="4" width="34.7109375" style="1" customWidth="1"/>
    <col min="5" max="5" width="12.7109375" customWidth="1"/>
    <col min="6" max="6" width="120.7109375" style="1" customWidth="1"/>
  </cols>
  <sheetData>
    <row r="1" spans="1:6">
      <c r="A1" s="4" t="s">
        <v>135</v>
      </c>
      <c r="B1" s="4" t="s">
        <v>53</v>
      </c>
      <c r="C1" s="4" t="s">
        <v>182</v>
      </c>
      <c r="D1" s="4" t="s">
        <v>183</v>
      </c>
      <c r="E1" s="4" t="s">
        <v>184</v>
      </c>
      <c r="F1" s="4" t="s">
        <v>137</v>
      </c>
    </row>
    <row r="2" spans="1:6">
      <c r="A2" s="1">
        <v>2022</v>
      </c>
      <c r="B2" s="1" t="s">
        <v>90</v>
      </c>
      <c r="C2" s="1" t="s">
        <v>185</v>
      </c>
      <c r="D2" s="1" t="s">
        <v>186</v>
      </c>
      <c r="E2" s="1"/>
      <c r="F2" s="1" t="s">
        <v>187</v>
      </c>
    </row>
    <row r="3" spans="1:6">
      <c r="A3" s="1">
        <v>2022</v>
      </c>
      <c r="B3" s="1" t="s">
        <v>90</v>
      </c>
      <c r="C3" s="1" t="s">
        <v>188</v>
      </c>
      <c r="D3" s="1" t="s">
        <v>189</v>
      </c>
      <c r="E3" s="1" t="s">
        <v>190</v>
      </c>
      <c r="F3" s="1" t="s">
        <v>191</v>
      </c>
    </row>
    <row r="4" spans="1:6">
      <c r="A4" s="1">
        <v>2022</v>
      </c>
      <c r="B4" s="1" t="s">
        <v>90</v>
      </c>
      <c r="C4" s="1" t="s">
        <v>192</v>
      </c>
      <c r="D4" s="1" t="s">
        <v>193</v>
      </c>
      <c r="E4" s="1"/>
      <c r="F4" s="1" t="s">
        <v>194</v>
      </c>
    </row>
    <row r="5" spans="1:6">
      <c r="A5" s="1">
        <v>2022</v>
      </c>
      <c r="B5" s="1" t="s">
        <v>90</v>
      </c>
      <c r="C5" s="1" t="s">
        <v>195</v>
      </c>
      <c r="D5" s="1" t="s">
        <v>196</v>
      </c>
      <c r="E5" s="1"/>
      <c r="F5" s="1" t="s">
        <v>197</v>
      </c>
    </row>
    <row r="6" spans="1:6">
      <c r="A6" s="1">
        <v>2022</v>
      </c>
      <c r="B6" s="1" t="s">
        <v>64</v>
      </c>
      <c r="C6" s="1" t="s">
        <v>198</v>
      </c>
      <c r="D6" s="1" t="s">
        <v>199</v>
      </c>
      <c r="E6" s="1"/>
      <c r="F6" s="1" t="s">
        <v>200</v>
      </c>
    </row>
    <row r="7" spans="1:6">
      <c r="A7" s="1">
        <v>2022</v>
      </c>
      <c r="B7" s="1" t="s">
        <v>64</v>
      </c>
      <c r="C7" s="1" t="s">
        <v>201</v>
      </c>
      <c r="D7" s="1" t="s">
        <v>202</v>
      </c>
      <c r="E7" s="1"/>
      <c r="F7" s="1" t="s">
        <v>203</v>
      </c>
    </row>
    <row r="8" spans="1:6">
      <c r="A8" s="1">
        <v>2022</v>
      </c>
      <c r="B8" s="1" t="s">
        <v>64</v>
      </c>
      <c r="C8" s="1" t="s">
        <v>204</v>
      </c>
      <c r="D8" s="1" t="s">
        <v>205</v>
      </c>
      <c r="E8" s="1" t="s">
        <v>206</v>
      </c>
      <c r="F8" s="1" t="s">
        <v>207</v>
      </c>
    </row>
    <row r="9" spans="1:6">
      <c r="A9" s="1">
        <v>2023</v>
      </c>
      <c r="B9" s="1" t="s">
        <v>90</v>
      </c>
      <c r="C9" s="1" t="s">
        <v>185</v>
      </c>
      <c r="D9" s="1" t="s">
        <v>186</v>
      </c>
      <c r="E9" s="1"/>
      <c r="F9" s="1" t="s">
        <v>208</v>
      </c>
    </row>
    <row r="10" spans="1:6">
      <c r="A10" s="1">
        <v>2023</v>
      </c>
      <c r="B10" s="1" t="s">
        <v>90</v>
      </c>
      <c r="C10" s="1" t="s">
        <v>188</v>
      </c>
      <c r="D10" s="1" t="s">
        <v>189</v>
      </c>
      <c r="E10" s="1" t="s">
        <v>209</v>
      </c>
      <c r="F10" s="1" t="s">
        <v>210</v>
      </c>
    </row>
    <row r="11" spans="1:6">
      <c r="A11" s="1">
        <v>2023</v>
      </c>
      <c r="B11" s="1" t="s">
        <v>90</v>
      </c>
      <c r="C11" s="1" t="s">
        <v>192</v>
      </c>
      <c r="D11" s="1" t="s">
        <v>193</v>
      </c>
      <c r="E11" s="1"/>
      <c r="F11" s="1" t="s">
        <v>211</v>
      </c>
    </row>
    <row r="12" spans="1:6">
      <c r="A12" s="1">
        <v>2023</v>
      </c>
      <c r="B12" s="1" t="s">
        <v>90</v>
      </c>
      <c r="C12" s="1" t="s">
        <v>195</v>
      </c>
      <c r="D12" s="1" t="s">
        <v>196</v>
      </c>
      <c r="E12" s="1"/>
      <c r="F12" s="1" t="s">
        <v>212</v>
      </c>
    </row>
    <row r="13" spans="1:6">
      <c r="A13" s="1">
        <v>2023</v>
      </c>
      <c r="B13" s="1" t="s">
        <v>64</v>
      </c>
      <c r="C13" s="1" t="s">
        <v>198</v>
      </c>
      <c r="D13" s="1" t="s">
        <v>199</v>
      </c>
      <c r="E13" s="1"/>
      <c r="F13" s="1" t="s">
        <v>213</v>
      </c>
    </row>
    <row r="14" spans="1:6">
      <c r="A14" s="1">
        <v>2023</v>
      </c>
      <c r="B14" s="1" t="s">
        <v>64</v>
      </c>
      <c r="C14" s="1" t="s">
        <v>201</v>
      </c>
      <c r="D14" s="1" t="s">
        <v>202</v>
      </c>
      <c r="E14" s="1"/>
      <c r="F14" s="1" t="s">
        <v>203</v>
      </c>
    </row>
    <row r="15" spans="1:6">
      <c r="A15" s="1">
        <v>2023</v>
      </c>
      <c r="B15" s="1" t="s">
        <v>64</v>
      </c>
      <c r="C15" s="1" t="s">
        <v>204</v>
      </c>
      <c r="D15" s="1" t="s">
        <v>205</v>
      </c>
      <c r="E15" s="1" t="s">
        <v>214</v>
      </c>
      <c r="F15" s="1" t="s">
        <v>215</v>
      </c>
    </row>
    <row r="16" spans="1:6">
      <c r="A16" s="1">
        <v>2024</v>
      </c>
      <c r="B16" s="1" t="s">
        <v>90</v>
      </c>
      <c r="C16" s="1" t="s">
        <v>185</v>
      </c>
      <c r="D16" s="1" t="s">
        <v>186</v>
      </c>
      <c r="E16" s="1" t="s">
        <v>216</v>
      </c>
      <c r="F16" s="1" t="s">
        <v>217</v>
      </c>
    </row>
    <row r="17" spans="1:6">
      <c r="A17" s="1">
        <v>2024</v>
      </c>
      <c r="B17" s="1" t="s">
        <v>90</v>
      </c>
      <c r="C17" s="1" t="s">
        <v>188</v>
      </c>
      <c r="D17" s="1" t="s">
        <v>189</v>
      </c>
      <c r="E17" s="1" t="s">
        <v>218</v>
      </c>
      <c r="F17" s="1" t="s">
        <v>219</v>
      </c>
    </row>
    <row r="18" spans="1:6">
      <c r="A18" s="1">
        <v>2024</v>
      </c>
      <c r="B18" s="1" t="s">
        <v>90</v>
      </c>
      <c r="C18" s="1" t="s">
        <v>192</v>
      </c>
      <c r="D18" s="1" t="s">
        <v>193</v>
      </c>
      <c r="E18" s="1"/>
      <c r="F18" s="1" t="s">
        <v>220</v>
      </c>
    </row>
    <row r="19" spans="1:6">
      <c r="A19" s="1">
        <v>2024</v>
      </c>
      <c r="B19" s="1" t="s">
        <v>90</v>
      </c>
      <c r="C19" s="1" t="s">
        <v>195</v>
      </c>
      <c r="D19" s="1" t="s">
        <v>196</v>
      </c>
      <c r="E19" s="1"/>
      <c r="F19" s="1" t="s">
        <v>221</v>
      </c>
    </row>
    <row r="20" spans="1:6">
      <c r="A20" s="1">
        <v>2024</v>
      </c>
      <c r="B20" s="1" t="s">
        <v>64</v>
      </c>
      <c r="C20" s="1" t="s">
        <v>198</v>
      </c>
      <c r="D20" s="1" t="s">
        <v>199</v>
      </c>
      <c r="E20" s="1"/>
      <c r="F20" s="1" t="s">
        <v>222</v>
      </c>
    </row>
    <row r="21" spans="1:6">
      <c r="A21" s="1">
        <v>2024</v>
      </c>
      <c r="B21" s="1" t="s">
        <v>64</v>
      </c>
      <c r="C21" s="1" t="s">
        <v>201</v>
      </c>
      <c r="D21" s="1" t="s">
        <v>202</v>
      </c>
      <c r="E21" s="1"/>
      <c r="F21" s="1" t="s">
        <v>203</v>
      </c>
    </row>
    <row r="22" spans="1:6">
      <c r="A22" s="1">
        <v>2024</v>
      </c>
      <c r="B22" s="1" t="s">
        <v>64</v>
      </c>
      <c r="C22" s="1" t="s">
        <v>204</v>
      </c>
      <c r="D22" s="1" t="s">
        <v>205</v>
      </c>
      <c r="E22" s="1" t="s">
        <v>206</v>
      </c>
      <c r="F22" s="1" t="s">
        <v>223</v>
      </c>
    </row>
    <row r="23" spans="1:6">
      <c r="A23" s="1">
        <v>2025</v>
      </c>
      <c r="B23" s="1" t="s">
        <v>90</v>
      </c>
      <c r="C23" s="1" t="s">
        <v>185</v>
      </c>
      <c r="D23" s="1" t="s">
        <v>186</v>
      </c>
      <c r="E23" s="1"/>
      <c r="F23" s="1" t="s">
        <v>224</v>
      </c>
    </row>
    <row r="24" spans="1:6">
      <c r="A24" s="1">
        <v>2025</v>
      </c>
      <c r="B24" s="1" t="s">
        <v>90</v>
      </c>
      <c r="C24" s="1" t="s">
        <v>188</v>
      </c>
      <c r="D24" s="1" t="s">
        <v>189</v>
      </c>
      <c r="E24" s="1" t="s">
        <v>225</v>
      </c>
      <c r="F24" s="1" t="s">
        <v>226</v>
      </c>
    </row>
    <row r="25" spans="1:6">
      <c r="A25" s="1">
        <v>2025</v>
      </c>
      <c r="B25" s="1" t="s">
        <v>90</v>
      </c>
      <c r="C25" s="1" t="s">
        <v>192</v>
      </c>
      <c r="D25" s="1" t="s">
        <v>193</v>
      </c>
      <c r="E25" s="1"/>
      <c r="F25" s="1" t="s">
        <v>227</v>
      </c>
    </row>
    <row r="26" spans="1:6">
      <c r="A26" s="1">
        <v>2025</v>
      </c>
      <c r="B26" s="1" t="s">
        <v>90</v>
      </c>
      <c r="C26" s="1" t="s">
        <v>195</v>
      </c>
      <c r="D26" s="1" t="s">
        <v>196</v>
      </c>
      <c r="E26" s="1"/>
      <c r="F26" s="1" t="s">
        <v>228</v>
      </c>
    </row>
    <row r="27" spans="1:6">
      <c r="A27" s="1">
        <v>2025</v>
      </c>
      <c r="B27" s="1" t="s">
        <v>64</v>
      </c>
      <c r="C27" s="1" t="s">
        <v>198</v>
      </c>
      <c r="D27" s="1" t="s">
        <v>199</v>
      </c>
      <c r="E27" s="1"/>
      <c r="F27" s="1" t="s">
        <v>229</v>
      </c>
    </row>
    <row r="28" spans="1:6">
      <c r="A28" s="1">
        <v>2025</v>
      </c>
      <c r="B28" s="1" t="s">
        <v>64</v>
      </c>
      <c r="C28" s="1" t="s">
        <v>201</v>
      </c>
      <c r="D28" s="1" t="s">
        <v>202</v>
      </c>
      <c r="E28" s="1"/>
      <c r="F28" s="1" t="s">
        <v>203</v>
      </c>
    </row>
    <row r="29" spans="1:6">
      <c r="A29" s="1">
        <v>2025</v>
      </c>
      <c r="B29" s="1" t="s">
        <v>64</v>
      </c>
      <c r="C29" s="1" t="s">
        <v>204</v>
      </c>
      <c r="D29" s="1" t="s">
        <v>205</v>
      </c>
      <c r="E29" s="1" t="s">
        <v>206</v>
      </c>
      <c r="F29" s="1" t="s">
        <v>230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9"/>
  <sheetViews>
    <sheetView workbookViewId="0"/>
  </sheetViews>
  <sheetFormatPr defaultRowHeight="15"/>
  <cols>
    <col min="1" max="3" width="11.7109375" customWidth="1"/>
    <col min="4" max="5" width="26.7109375" customWidth="1"/>
    <col min="6" max="6" width="70.7109375" style="1" customWidth="1"/>
  </cols>
  <sheetData>
    <row r="1" spans="1:6">
      <c r="A1" s="4" t="s">
        <v>231</v>
      </c>
      <c r="B1" s="4" t="s">
        <v>232</v>
      </c>
      <c r="C1" s="4" t="s">
        <v>233</v>
      </c>
      <c r="D1" s="4" t="s">
        <v>234</v>
      </c>
      <c r="E1" s="4" t="s">
        <v>235</v>
      </c>
      <c r="F1" s="4" t="s">
        <v>236</v>
      </c>
    </row>
    <row r="2" spans="1:6">
      <c r="A2" t="s">
        <v>237</v>
      </c>
      <c r="B2">
        <v>0</v>
      </c>
      <c r="C2">
        <v>1</v>
      </c>
      <c r="D2" s="1" t="s">
        <v>238</v>
      </c>
      <c r="E2" s="1" t="s">
        <v>238</v>
      </c>
      <c r="F2" s="1" t="s">
        <v>239</v>
      </c>
    </row>
    <row r="3" spans="1:6">
      <c r="A3" t="s">
        <v>237</v>
      </c>
      <c r="B3">
        <v>1</v>
      </c>
      <c r="C3">
        <v>5</v>
      </c>
      <c r="D3" s="1" t="s">
        <v>240</v>
      </c>
      <c r="E3" s="1" t="s">
        <v>241</v>
      </c>
      <c r="F3" s="1" t="s">
        <v>239</v>
      </c>
    </row>
    <row r="4" spans="1:6">
      <c r="A4" t="s">
        <v>237</v>
      </c>
      <c r="B4">
        <v>5</v>
      </c>
      <c r="C4">
        <v>15</v>
      </c>
      <c r="D4" s="1" t="s">
        <v>242</v>
      </c>
      <c r="E4" s="1" t="s">
        <v>243</v>
      </c>
      <c r="F4" s="1" t="s">
        <v>239</v>
      </c>
    </row>
    <row r="5" spans="1:6">
      <c r="A5" t="s">
        <v>237</v>
      </c>
      <c r="B5">
        <v>15</v>
      </c>
      <c r="D5" s="1" t="s">
        <v>244</v>
      </c>
      <c r="E5" s="1" t="s">
        <v>245</v>
      </c>
      <c r="F5" s="1" t="s">
        <v>239</v>
      </c>
    </row>
    <row r="6" spans="1:6">
      <c r="A6" t="s">
        <v>246</v>
      </c>
      <c r="B6">
        <v>0</v>
      </c>
      <c r="C6">
        <v>2</v>
      </c>
      <c r="D6" s="1" t="s">
        <v>238</v>
      </c>
      <c r="E6" s="1" t="s">
        <v>238</v>
      </c>
      <c r="F6" s="1" t="s">
        <v>247</v>
      </c>
    </row>
    <row r="7" spans="1:6">
      <c r="A7" t="s">
        <v>246</v>
      </c>
      <c r="B7">
        <v>2</v>
      </c>
      <c r="C7">
        <v>10</v>
      </c>
      <c r="D7" s="1" t="s">
        <v>240</v>
      </c>
      <c r="E7" s="1" t="s">
        <v>241</v>
      </c>
      <c r="F7" s="1" t="s">
        <v>247</v>
      </c>
    </row>
    <row r="8" spans="1:6">
      <c r="A8" t="s">
        <v>246</v>
      </c>
      <c r="B8">
        <v>10</v>
      </c>
      <c r="C8">
        <v>25</v>
      </c>
      <c r="D8" s="1" t="s">
        <v>242</v>
      </c>
      <c r="E8" s="1" t="s">
        <v>243</v>
      </c>
      <c r="F8" s="1" t="s">
        <v>247</v>
      </c>
    </row>
    <row r="9" spans="1:6">
      <c r="A9" t="s">
        <v>246</v>
      </c>
      <c r="B9">
        <v>25</v>
      </c>
      <c r="D9" s="1" t="s">
        <v>244</v>
      </c>
      <c r="E9" s="1" t="s">
        <v>245</v>
      </c>
      <c r="F9" s="1" t="s">
        <v>247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36.7109375" customWidth="1"/>
    <col min="2" max="2" width="50.7109375" style="1" customWidth="1"/>
    <col min="3" max="3" width="60.7109375" style="1" customWidth="1"/>
  </cols>
  <sheetData>
    <row r="1" spans="1:3">
      <c r="A1" s="4" t="s">
        <v>248</v>
      </c>
      <c r="B1" s="4" t="s">
        <v>249</v>
      </c>
      <c r="C1" s="4" t="s">
        <v>236</v>
      </c>
    </row>
    <row r="2" spans="1:3">
      <c r="A2" s="1" t="s">
        <v>250</v>
      </c>
      <c r="B2" s="1" t="s">
        <v>251</v>
      </c>
      <c r="C2" s="1" t="s">
        <v>252</v>
      </c>
    </row>
    <row r="3" spans="1:3">
      <c r="A3" s="1" t="s">
        <v>253</v>
      </c>
      <c r="B3" s="1" t="s">
        <v>254</v>
      </c>
      <c r="C3" s="1"/>
    </row>
    <row r="4" spans="1:3">
      <c r="A4" s="1" t="s">
        <v>255</v>
      </c>
      <c r="B4" s="1" t="s">
        <v>256</v>
      </c>
      <c r="C4" s="1"/>
    </row>
    <row r="5" spans="1:3">
      <c r="A5" s="1" t="s">
        <v>257</v>
      </c>
      <c r="B5" s="1" t="s">
        <v>258</v>
      </c>
      <c r="C5" s="1"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Company</vt:lpstr>
      <vt:lpstr>Figures</vt:lpstr>
      <vt:lpstr>Bullets</vt:lpstr>
      <vt:lpstr>Narratives</vt:lpstr>
      <vt:lpstr>House phrases</vt:lpstr>
      <vt:lpstr>Terminology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Tallowmere Life: figures, bullets and SFCR texts E.1/E.2 (fictitious)</dc:title>
  <dc:creator>EAA seminar E0572 (synthetic data)</dc:creator>
  <cp:lastModifiedBy>EAA seminar E0572 (synthetic data)</cp:lastModifiedBy>
  <dcterms:created xsi:type="dcterms:W3CDTF">2026-10-01T00:00:00Z</dcterms:created>
  <dcterms:modified xsi:type="dcterms:W3CDTF">2026-10-01T00:00:00Z</dcterms:modified>
</cp:coreProperties>
</file>