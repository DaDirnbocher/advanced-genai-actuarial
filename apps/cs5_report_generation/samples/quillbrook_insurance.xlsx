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Company" sheetId="2" r:id="rId2"/>
    <sheet name="Figures" sheetId="3" r:id="rId3"/>
    <sheet name="Bullets" sheetId="4" r:id="rId4"/>
    <sheet name="Narratives" sheetId="5" r:id="rId5"/>
    <sheet name="House phrases" sheetId="6" r:id="rId6"/>
    <sheet name="Terminology" sheetId="7" r:id="rId7"/>
  </sheets>
  <calcPr calcId="124519" fullCalcOnLoad="1"/>
</workbook>
</file>

<file path=xl/sharedStrings.xml><?xml version="1.0" encoding="utf-8"?>
<sst xmlns="http://schemas.openxmlformats.org/spreadsheetml/2006/main" count="493" uniqueCount="261">
  <si>
    <t>Quillbrook Insurance: figures, driver bullets and SFCR texts for sections E.1 and E.2</t>
  </si>
  <si>
    <t>Quillbrook Insurance is a fictitious insurer created for teaching; all figures are synthetic.</t>
  </si>
  <si>
    <t>This workbook feeds the Case Study 5 report app (apps/cs5_report_generation). Edit it, save it, and upload it in the app.</t>
  </si>
  <si>
    <t>Company: the text facts of the insurer (legal form, capital management policy, calculation methods, risk appetite). appetite_low and appetite_high are numbers in per cent.</t>
  </si>
  <si>
    <t>Figures: EUR million at 31 December. Yellow cells are inputs; grey cells are totals and ratios computed by formulas. The app reads only the inputs and computes every total, every amount eligible under the tier limits and every ratio itself; deductions (diversification, loss-absorbing capacity) are positive amounts.</t>
  </si>
  <si>
    <t>Bullets: the driver bullets of the finance and risk teams for each year. They are the only evidence for a cause that the text may state.</t>
  </si>
  <si>
    <t>Narratives: the E.1 and E.2 texts published for 2022 to 2025, one row per text block (slot); 'based_on' names the bullets a block draws on. 2026 has figures and bullets but no text yet: that is the year to draft.</t>
  </si>
  <si>
    <t>House phrases: the words for a movement by its size (per cent for amounts, percentage points for ratios). Terminology: the house terms and the terms to avoid.</t>
  </si>
  <si>
    <t>field</t>
  </si>
  <si>
    <t>value</t>
  </si>
  <si>
    <t>company_id</t>
  </si>
  <si>
    <t>quillbrook</t>
  </si>
  <si>
    <t>company_name</t>
  </si>
  <si>
    <t>Quillbrook Insurance</t>
  </si>
  <si>
    <t>legal_form</t>
  </si>
  <si>
    <t>a public limited company (composite insurance undertaking)</t>
  </si>
  <si>
    <t>lines_of_business</t>
  </si>
  <si>
    <t>motor, property and liability insurance, protection life insurance and health insurance</t>
  </si>
  <si>
    <t>home_member_state</t>
  </si>
  <si>
    <t>Lithuania</t>
  </si>
  <si>
    <t>supervisor</t>
  </si>
  <si>
    <t>Home Supervisory Authority (fictitious placeholder)</t>
  </si>
  <si>
    <t>fictitious_note</t>
  </si>
  <si>
    <t>appetite_low</t>
  </si>
  <si>
    <t>140</t>
  </si>
  <si>
    <t>appetite_high</t>
  </si>
  <si>
    <t>capital_policy</t>
  </si>
  <si>
    <t>Cover the SCR at all times with own funds of sufficient quality, maintain SCR coverage of at least the risk appetite and pay dividends only where this level is maintained after the payment; the Board of Directors approves the policy and reviews it every year.</t>
  </si>
  <si>
    <t>planning_horizon</t>
  </si>
  <si>
    <t>three years (capital plan within the business plan)</t>
  </si>
  <si>
    <t>tier1_items</t>
  </si>
  <si>
    <t>share capital and reconciliation reserve</t>
  </si>
  <si>
    <t>tier2_items</t>
  </si>
  <si>
    <t>subordinated bonds</t>
  </si>
  <si>
    <t>tier3_items</t>
  </si>
  <si>
    <t>net deferred tax assets</t>
  </si>
  <si>
    <t>ancillary_own_funds</t>
  </si>
  <si>
    <t>none</t>
  </si>
  <si>
    <t>deductions_restrictions</t>
  </si>
  <si>
    <t>foreseeable dividends deducted; no restrictions on availability or transferability</t>
  </si>
  <si>
    <t>calculation</t>
  </si>
  <si>
    <t>standard formula</t>
  </si>
  <si>
    <t>simplifications</t>
  </si>
  <si>
    <t>simplified calculation of the risk-mitigating effect of reinsurance arrangements in the counterparty default risk module</t>
  </si>
  <si>
    <t>undertaking_specific_parameters</t>
  </si>
  <si>
    <t>capital_add_on</t>
  </si>
  <si>
    <t>mcr_inputs</t>
  </si>
  <si>
    <t>linear formulas for life and non-life insurance: technical provisions without risk margin and capital at risk (life), technical provisions without risk margin and written premiums of the last twelve months (non-life); floor 25% and cap 45% of the SCR</t>
  </si>
  <si>
    <t>style</t>
  </si>
  <si>
    <t>third person ('the Company'); formal; 'SCR coverage' without 'ratio'; movements with 'rose' and 'fell'; tier limits always explained</t>
  </si>
  <si>
    <t>id</t>
  </si>
  <si>
    <t>item</t>
  </si>
  <si>
    <t>unit</t>
  </si>
  <si>
    <t>kind</t>
  </si>
  <si>
    <t>section</t>
  </si>
  <si>
    <t>2021</t>
  </si>
  <si>
    <t>2022</t>
  </si>
  <si>
    <t>2023</t>
  </si>
  <si>
    <t>2024</t>
  </si>
  <si>
    <t>2025</t>
  </si>
  <si>
    <t>2026</t>
  </si>
  <si>
    <t>scr_market</t>
  </si>
  <si>
    <t>market risk</t>
  </si>
  <si>
    <t>EUR m</t>
  </si>
  <si>
    <t>input</t>
  </si>
  <si>
    <t>E.2</t>
  </si>
  <si>
    <t>scr_default</t>
  </si>
  <si>
    <t>counterparty default risk</t>
  </si>
  <si>
    <t>scr_life</t>
  </si>
  <si>
    <t>life underwriting risk</t>
  </si>
  <si>
    <t>scr_health</t>
  </si>
  <si>
    <t>health underwriting risk</t>
  </si>
  <si>
    <t>scr_nonlife</t>
  </si>
  <si>
    <t>non-life underwriting risk</t>
  </si>
  <si>
    <t>div_benefit</t>
  </si>
  <si>
    <t>diversification benefit (deducted)</t>
  </si>
  <si>
    <t>bscr</t>
  </si>
  <si>
    <t>Basic Solvency Capital Requirement (BSCR)</t>
  </si>
  <si>
    <t>derived</t>
  </si>
  <si>
    <t>scr_operational</t>
  </si>
  <si>
    <t>operational risk</t>
  </si>
  <si>
    <t>lac_tp</t>
  </si>
  <si>
    <t>loss-absorbing capacity of technical provisions (deducted)</t>
  </si>
  <si>
    <t>lac_dt</t>
  </si>
  <si>
    <t>loss-absorbing capacity of deferred taxes (deducted)</t>
  </si>
  <si>
    <t>scr</t>
  </si>
  <si>
    <t>Solvency Capital Requirement (SCR)</t>
  </si>
  <si>
    <t>mcr</t>
  </si>
  <si>
    <t>Minimum Capital Requirement (MCR)</t>
  </si>
  <si>
    <t>of_t1</t>
  </si>
  <si>
    <t>Tier 1 own funds</t>
  </si>
  <si>
    <t>E.1</t>
  </si>
  <si>
    <t>of_t2</t>
  </si>
  <si>
    <t>Tier 2 own funds</t>
  </si>
  <si>
    <t>of_t3</t>
  </si>
  <si>
    <t>Tier 3 own funds</t>
  </si>
  <si>
    <t>of_total</t>
  </si>
  <si>
    <t>total basic own funds</t>
  </si>
  <si>
    <t>eof_scr_t1</t>
  </si>
  <si>
    <t>Tier 1 eligible to cover the SCR</t>
  </si>
  <si>
    <t>eof_scr_t2</t>
  </si>
  <si>
    <t>Tier 2 eligible to cover the SCR</t>
  </si>
  <si>
    <t>eof_scr_t3</t>
  </si>
  <si>
    <t>Tier 3 eligible to cover the SCR</t>
  </si>
  <si>
    <t>eof_scr</t>
  </si>
  <si>
    <t>eligible own funds to cover the SCR</t>
  </si>
  <si>
    <t>eof_mcr_t1</t>
  </si>
  <si>
    <t>Tier 1 eligible to cover the MCR</t>
  </si>
  <si>
    <t>eof_mcr_t2</t>
  </si>
  <si>
    <t>Tier 2 eligible to cover the MCR</t>
  </si>
  <si>
    <t>eof_mcr</t>
  </si>
  <si>
    <t>eligible own funds to cover the MCR</t>
  </si>
  <si>
    <t>of_inelig_scr</t>
  </si>
  <si>
    <t>own funds not eligible to cover the SCR (tier limits)</t>
  </si>
  <si>
    <t>cov_scr</t>
  </si>
  <si>
    <t>SCR coverage ratio</t>
  </si>
  <si>
    <t>%</t>
  </si>
  <si>
    <t>cov_mcr</t>
  </si>
  <si>
    <t>MCR coverage ratio</t>
  </si>
  <si>
    <t>equity_fs</t>
  </si>
  <si>
    <t>equity in the financial statements</t>
  </si>
  <si>
    <t>E.1(e)</t>
  </si>
  <si>
    <t>rec_tp</t>
  </si>
  <si>
    <t>valuation of technical provisions (difference)</t>
  </si>
  <si>
    <t>rec_intangibles</t>
  </si>
  <si>
    <t>intangible assets (difference)</t>
  </si>
  <si>
    <t>rec_dt</t>
  </si>
  <si>
    <t>deferred taxes (difference)</t>
  </si>
  <si>
    <t>rec_other</t>
  </si>
  <si>
    <t>other valuation differences</t>
  </si>
  <si>
    <t>eaol</t>
  </si>
  <si>
    <t>excess of assets over liabilities</t>
  </si>
  <si>
    <t>foreseeable_div</t>
  </si>
  <si>
    <t>foreseeable dividends (deducted)</t>
  </si>
  <si>
    <t>sub_liab</t>
  </si>
  <si>
    <t>subordinated liabilities in basic own funds</t>
  </si>
  <si>
    <t>year</t>
  </si>
  <si>
    <t>topic</t>
  </si>
  <si>
    <t>text</t>
  </si>
  <si>
    <t>B1</t>
  </si>
  <si>
    <t>Interest rates and markets</t>
  </si>
  <si>
    <t>Rising interest rates and falling equity markets reduced the market value of our investments; Tier 1 own funds fell and market risk decreased.</t>
  </si>
  <si>
    <t>B2</t>
  </si>
  <si>
    <t>Deferred taxes</t>
  </si>
  <si>
    <t>Unrealised losses increased net deferred tax assets (Tier 3); the amount above 15% of the SCR is not eligible.</t>
  </si>
  <si>
    <t>B3</t>
  </si>
  <si>
    <t>Tier limits</t>
  </si>
  <si>
    <t>Because Tier 2 and Tier 3 together exceed half of the SCR, part of the subordinated bonds (Tier 2) is not eligible to cover the SCR.</t>
  </si>
  <si>
    <t>B4</t>
  </si>
  <si>
    <t>Non-life growth</t>
  </si>
  <si>
    <t>Growth in motor and property insurance increased non-life underwriting risk.</t>
  </si>
  <si>
    <t>B5</t>
  </si>
  <si>
    <t>Dividend</t>
  </si>
  <si>
    <t>The Board proposed a dividend of EUR 30.0 million, deducted as a foreseeable dividend.</t>
  </si>
  <si>
    <t>Equity markets</t>
  </si>
  <si>
    <t>Recovering equity markets increased the value of our investments, Tier 1 own funds and market risk.</t>
  </si>
  <si>
    <t>Non-life</t>
  </si>
  <si>
    <t>Claims inflation in motor insurance reduced the non-life result; growth increased non-life underwriting risk.</t>
  </si>
  <si>
    <t>Life</t>
  </si>
  <si>
    <t>Higher sales of protection products increased life underwriting risk.</t>
  </si>
  <si>
    <t>Tier 2 own funds remain partly ineligible because Tier 2 and Tier 3 together exceed half of the SCR.</t>
  </si>
  <si>
    <t>The Board proposed a dividend of EUR 25.0 million, deducted as a foreseeable dividend.</t>
  </si>
  <si>
    <t>Hailstorms</t>
  </si>
  <si>
    <t>Two severe hailstorms in June 2024 caused many motor and property claims; the loss reduced Tier 1 own funds.</t>
  </si>
  <si>
    <t>The loss increased net deferred tax assets (Tier 3); the amount above 15% of the SCR is not eligible.</t>
  </si>
  <si>
    <t>Risk appetite</t>
  </si>
  <si>
    <t>SCR coverage reached the lower end of our risk appetite of at least 140%; the Board started a review of capital measures.</t>
  </si>
  <si>
    <t>To support own funds, the Board reduced the dividend to EUR 20.0 million, deducted as a foreseeable dividend.</t>
  </si>
  <si>
    <t>Rate increases restored the non-life result; growth increased non-life underwriting risk slightly.</t>
  </si>
  <si>
    <t>Net deferred tax assets fell as part of the 2024 tax loss was used.</t>
  </si>
  <si>
    <t>Below risk appetite</t>
  </si>
  <si>
    <t>SCR coverage fell below our risk appetite of at least 140%; the Board decided on management actions for 2026.</t>
  </si>
  <si>
    <t>Hailstorm</t>
  </si>
  <si>
    <t>A severe hailstorm in July 2026 caused many motor and property claims; the loss reduced Tier 1 own funds.</t>
  </si>
  <si>
    <t>As a management action, the Board suspended the dividend for 2026; no foreseeable dividend is deducted.</t>
  </si>
  <si>
    <t>Capital plan</t>
  </si>
  <si>
    <t>In December 2026 the Board approved a capital plan that includes new Tier 2 notes in 2027; they are not part of own funds at the end of 2026.</t>
  </si>
  <si>
    <t>Reinsurance</t>
  </si>
  <si>
    <t>A higher catastrophe reinsurance cover will apply from 1 January 2027; it does not affect the SCR at the end of 2026.</t>
  </si>
  <si>
    <t>B6</t>
  </si>
  <si>
    <t>Operational risk</t>
  </si>
  <si>
    <t>Operational risk increased; the reasons have not yet been analysed.</t>
  </si>
  <si>
    <t>slot</t>
  </si>
  <si>
    <t>title</t>
  </si>
  <si>
    <t>based_on</t>
  </si>
  <si>
    <t>e1_policy</t>
  </si>
  <si>
    <t>Objectives, policies and processes for managing own funds</t>
  </si>
  <si>
    <t>The Company manages its own funds in line with its capital management policy, which the Board of Directors approves and reviews every year. The policy aims to cover the Solvency Capital Requirement (SCR) at all times with own funds of sufficient quality, to maintain SCR coverage of at least 140% and to pay dividends only where this level is maintained after the payment. The capital plan covers the three years of the business plan and is updated every year. There were no material changes to the policy or the processes in 2022.</t>
  </si>
  <si>
    <t>e1_structure</t>
  </si>
  <si>
    <t>Structure, amount and quality of own funds by tier</t>
  </si>
  <si>
    <t>B1; B2; B5</t>
  </si>
  <si>
    <t>Basic own funds amounted to EUR 596.3 million at 31 December 2022 (2021: EUR 601.8 million). Tier 1 own funds, consisting of the share capital and the reconciliation reserve, fell by 5.7% to EUR 372.4 million, because rising interest rates and falling equity markets reduced the market value of the investments. Tier 2 own funds, which consist of subordinated bonds, remained stable at EUR 165.0 million. Tier 3 own funds, consisting of net deferred tax assets, rose sharply by 40.9% to EUR 58.9 million, because of higher unrealised losses on investments. The foreseeable dividend of EUR 30.0 million was deducted from the reconciliation reserve. The Company holds no ancillary own funds. Table E.1 shows the own funds by tier and their eligibility.</t>
  </si>
  <si>
    <t>e1_eligibility</t>
  </si>
  <si>
    <t>Eligible own funds to cover the SCR and the MCR</t>
  </si>
  <si>
    <t>B2; B3</t>
  </si>
  <si>
    <t>Under the tier limits, Tier 3 own funds are eligible to cover the SCR only up to 15% of the SCR, and Tier 2 and Tier 3 together only up to 50% of the SCR. At 31 December 2022, both limits applied, and EUR 34.2 million of Tier 2 and Tier 3 own funds were not eligible. Own funds eligible to cover the SCR therefore amounted to EUR 562.1 million (2021: EUR 583.6 million). To cover the Minimum Capital Requirement (MCR), Tier 3 own funds are not eligible and Tier 2 own funds are eligible up to 20% of the MCR; own funds eligible to cover the MCR amounted to EUR 399.8 million (2021: EUR 422.2 million). Apart from the foreseeable dividend, no items were deducted from own funds, and there are no restrictions on their availability or transferability.</t>
  </si>
  <si>
    <t>e1_reconciliation</t>
  </si>
  <si>
    <t>Equity in the financial statements and excess of assets over liabilities</t>
  </si>
  <si>
    <t>Equity in the Company's financial statements amounted to EUR 428.0 million at 31 December 2022 (2021: EUR 440.9 million); the excess of assets over liabilities for solvency purposes amounted to EUR 461.3 million (2021: EUR 466.8 million). The revaluation of technical provisions adds EUR 127.3 million. Intangible assets of EUR 62.7 million are not recognised, deferred taxes on the valuation differences deduct EUR 23.4 million, and other valuation differences, mainly on participations, deduct EUR 7.9 million.</t>
  </si>
  <si>
    <t>e2_amounts</t>
  </si>
  <si>
    <t>Solvency Capital Requirement and Minimum Capital Requirement</t>
  </si>
  <si>
    <t>The SCR amounted to EUR 379.3 million at 31 December 2022 (2021: EUR 377.2 million), and the MCR to EUR 137.1 million (2021: EUR 135.8 million). SCR coverage was 148% (2021: 155%) and MCR coverage 292% (2021: 311%). The final amount of the SCR is not subject to supervisory assessment. Table E.2 shows the SCR by risk module.</t>
  </si>
  <si>
    <t>e2_methods</t>
  </si>
  <si>
    <t>Calculation methods and inputs to the MCR</t>
  </si>
  <si>
    <t>The Company calculates the SCR with the standard formula. It uses one simplified calculation: the simplified calculation of the risk-mitigating effect of reinsurance arrangements in the counterparty default risk module. It uses no undertaking-specific parameters, and no capital add-on has been imposed. The MCR is calculated with the linear formulas for life and non-life insurance; the inputs are the technical provisions without risk margin and the capital at risk for life insurance, and the technical provisions without risk margin and the written premiums of the last twelve months for non-life insurance. The result is bounded by a floor of 25% and a cap of 45% of the SCR.</t>
  </si>
  <si>
    <t>e2_changes</t>
  </si>
  <si>
    <t>Material changes over the reporting period</t>
  </si>
  <si>
    <t>B1; B2; B4</t>
  </si>
  <si>
    <t>The SCR remained stable at EUR 379.3 million. Non-life underwriting risk rose by 7.4% to EUR 189.6 million because of growth in motor and property insurance, while market risk fell by 5.1% to EUR 228.7 million because of the lower market value of the investments. The MCR remained stable at EUR 137.1 million. SCR coverage fell slightly by 7 percentage points to 148%, because Tier 1 own funds fell and the tier limits restricted the eligibility of Tier 3 own funds.</t>
  </si>
  <si>
    <t>The Company manages its own funds in line with its capital management policy, which the Board of Directors approves and reviews every year. The policy aims to cover the Solvency Capital Requirement (SCR) at all times with own funds of sufficient quality, to maintain SCR coverage of at least 140% and to pay dividends only where this level is maintained after the payment. The capital plan covers the three years of the business plan and is updated every year. There were no material changes to the policy or the processes in 2023.</t>
  </si>
  <si>
    <t>B1; B5</t>
  </si>
  <si>
    <t>Basic own funds amounted to EUR 603.4 million at 31 December 2023 (2022: EUR 596.3 million). Tier 1 own funds, consisting of the share capital and the reconciliation reserve, rose slightly by 2.3% to EUR 381.1 million, owing to the recovery of equity markets. Tier 2 own funds, which consist of subordinated bonds, remained stable at EUR 165.0 million. Tier 3 own funds, consisting of net deferred tax assets, fell slightly by 2.7% to EUR 57.3 million. The foreseeable dividend of EUR 25.0 million was deducted from the reconciliation reserve. The Company holds no ancillary own funds. Table E.1 shows the own funds by tier and their eligibility.</t>
  </si>
  <si>
    <t>Under the tier limits, Tier 3 own funds are eligible to cover the SCR only up to 15% of the SCR, and Tier 2 and Tier 3 together only up to 50% of the SCR. At 31 December 2023, the limit for Tier 2 and Tier 3 together applied, and EUR 26.4 million of Tier 2 own funds were not eligible. Own funds eligible to cover the SCR therefore amounted to EUR 577.0 million (2022: EUR 562.1 million). To cover the Minimum Capital Requirement (MCR), Tier 3 own funds are not eligible and Tier 2 own funds are eligible up to 20% of the MCR; own funds eligible to cover the MCR amounted to EUR 409.3 million (2022: EUR 399.8 million). Apart from the foreseeable dividend, no items were deducted from own funds, and there are no restrictions on their availability or transferability.</t>
  </si>
  <si>
    <t>Equity in the Company's financial statements amounted to EUR 432.8 million at 31 December 2023 (2022: EUR 428.0 million); the excess of assets over liabilities for solvency purposes amounted to EUR 463.4 million (2022: EUR 461.3 million). The revaluation of technical provisions adds EUR 121.9 million. Intangible assets of EUR 61.0 million are not recognised, deferred taxes on the valuation differences deduct EUR 21.2 million, and other valuation differences, mainly on participations, deduct EUR 9.1 million.</t>
  </si>
  <si>
    <t>The SCR amounted to EUR 391.8 million at 31 December 2023 (2022: EUR 379.3 million), and the MCR to EUR 141.1 million (2022: EUR 137.1 million). SCR coverage was 147% (2022: 148%) and MCR coverage 290% (2022: 292%). The final amount of the SCR is not subject to supervisory assessment. Table E.2 shows the SCR by risk module.</t>
  </si>
  <si>
    <t>B1; B2; B3</t>
  </si>
  <si>
    <t>The SCR rose slightly by 3.3% to EUR 391.8 million. Market risk rose slightly by 3.3% to EUR 236.2 million with the recovery of equity markets, non-life underwriting risk rose slightly by 4.1% to EUR 197.3 million because of growth, and life underwriting risk rose by 7.3% to EUR 121.7 million because of higher sales of protection products. The MCR rose slightly by 2.9% to EUR 141.1 million. SCR coverage remained stable at 147%.</t>
  </si>
  <si>
    <t>The Company manages its own funds in line with its capital management policy, which the Board of Directors approves and reviews every year. The policy aims to cover the Solvency Capital Requirement (SCR) at all times with own funds of sufficient quality, to maintain SCR coverage of at least 140% and to pay dividends only where this level is maintained after the payment. The capital plan covers the three years of the business plan and is updated every year. In 2024, SCR coverage reached the lower end of the risk appetite, and the Board started a review of capital measures.</t>
  </si>
  <si>
    <t>Basic own funds amounted to EUR 594.9 million at 31 December 2024 (2023: EUR 603.4 million). Tier 1 own funds, consisting of the share capital and the reconciliation reserve, fell slightly by 4.6% to EUR 363.5 million, because two severe hailstorms in June 2024 caused many motor and property claims. Tier 2 own funds, which consist of subordinated bonds, remained stable at EUR 165.0 million. Tier 3 own funds, consisting of net deferred tax assets, rose sharply by 15.9% to EUR 66.4 million, because the loss from the hailstorms increased the tax loss carried forward. The foreseeable dividend of EUR 25.0 million was deducted from the reconciliation reserve. The Company holds no ancillary own funds. Table E.1 shows the own funds by tier and their eligibility.</t>
  </si>
  <si>
    <t>Under the tier limits, Tier 3 own funds are eligible to cover the SCR only up to 15% of the SCR, and Tier 2 and Tier 3 together only up to 50% of the SCR. At 31 December 2024, both limits applied, and EUR 30.4 million of Tier 2 and Tier 3 own funds were not eligible. Own funds eligible to cover the SCR therefore amounted to EUR 564.5 million (2023: EUR 577.0 million). To cover the Minimum Capital Requirement (MCR), Tier 3 own funds are not eligible and Tier 2 own funds are eligible up to 20% of the MCR; own funds eligible to cover the MCR amounted to EUR 392.5 million (2023: EUR 409.3 million). Apart from the foreseeable dividend, no items were deducted from own funds, and there are no restrictions on their availability or transferability.</t>
  </si>
  <si>
    <t>Equity in the Company's financial statements amounted to EUR 431.7 million at 31 December 2024 (2023: EUR 432.8 million); the excess of assets over liabilities for solvency purposes amounted to EUR 454.9 million (2023: EUR 463.4 million). The revaluation of technical provisions adds EUR 109.4 million. Intangible assets of EUR 59.8 million are not recognised, deferred taxes on the valuation differences deduct EUR 17.6 million, and other valuation differences, mainly on participations, deduct EUR 8.8 million.</t>
  </si>
  <si>
    <t>The SCR amounted to EUR 402.1 million at 31 December 2024 (2023: EUR 391.8 million), and the MCR to EUR 144.8 million (2023: EUR 141.1 million). SCR coverage was 140% (2023: 147%) and MCR coverage 271% (2023: 290%). The final amount of the SCR is not subject to supervisory assessment. Table E.2 shows the SCR by risk module.</t>
  </si>
  <si>
    <t>B1; B2</t>
  </si>
  <si>
    <t>The SCR rose slightly by 2.6% to EUR 402.1 million. Non-life underwriting risk rose slightly by 2.3% to EUR 201.8 million because of growth. The MCR rose slightly by 2.6% to EUR 144.8 million. SCR coverage fell slightly by 7 percentage points to 140%, because the hailstorms reduced Tier 1 own funds and the tier limits restricted the eligibility of the higher Tier 3 own funds.</t>
  </si>
  <si>
    <t>B1; B4</t>
  </si>
  <si>
    <t>The Company manages its own funds in line with its capital management policy, which the Board of Directors approves and reviews every year. The policy aims to cover the Solvency Capital Requirement (SCR) at all times with own funds of sufficient quality, to maintain SCR coverage of at least 140% and to pay dividends only where this level is maintained after the payment. The capital plan covers the three years of the business plan and is updated every year. In 2025, SCR coverage fell below the risk appetite; the Board reduced the dividend and decided on management actions for the following year.</t>
  </si>
  <si>
    <t>B1; B3</t>
  </si>
  <si>
    <t>Basic own funds amounted to EUR 593.2 million at 31 December 2025 (2024: EUR 594.9 million). Tier 1 own funds, consisting of the share capital and the reconciliation reserve, remained stable at EUR 366.9 million. Tier 2 own funds, which consist of subordinated bonds, remained stable at EUR 165.0 million. Tier 3 own funds, consisting of net deferred tax assets, fell by 7.7% to EUR 61.3 million, because part of the tax loss of 2024 was used. The foreseeable dividend of EUR 20.0 million was deducted from the reconciliation reserve. The Company holds no ancillary own funds. Table E.1 shows the own funds by tier and their eligibility.</t>
  </si>
  <si>
    <t>Under the tier limits, Tier 3 own funds are eligible to cover the SCR only up to 15% of the SCR, and Tier 2 and Tier 3 together only up to 50% of the SCR. At 31 December 2025, the limit for Tier 2 and Tier 3 together applied, and EUR 21.1 million of Tier 2 own funds were not eligible. Own funds eligible to cover the SCR therefore amounted to EUR 572.1 million (2024: EUR 564.5 million). To cover the Minimum Capital Requirement (MCR), Tier 3 own funds are not eligible and Tier 2 own funds are eligible up to 20% of the MCR; own funds eligible to cover the MCR amounted to EUR 396.4 million (2024: EUR 392.5 million). Apart from the foreseeable dividend, no items were deducted from own funds, and there are no restrictions on their availability or transferability.</t>
  </si>
  <si>
    <t>Equity in the Company's financial statements amounted to EUR 421.0 million at 31 December 2025 (2024: EUR 431.7 million); the excess of assets over liabilities for solvency purposes amounted to EUR 448.2 million (2024: EUR 454.9 million). The revaluation of technical provisions adds EUR 114.8 million. Intangible assets of EUR 58.1 million are not recognised, deferred taxes on the valuation differences deduct EUR 19.9 million, and other valuation differences, mainly on participations, deduct EUR 9.6 million.</t>
  </si>
  <si>
    <t>The SCR amounted to EUR 410.4 million at 31 December 2025 (2024: EUR 402.1 million), and the MCR to EUR 147.6 million (2024: EUR 144.8 million). SCR coverage was 139% (2024: 140%) and MCR coverage 269% (2024: 271%). The final amount of the SCR is not subject to supervisory assessment. Table E.2 shows the SCR by risk module.</t>
  </si>
  <si>
    <t>B2; B4</t>
  </si>
  <si>
    <t>The SCR rose slightly by 2.1% to EUR 410.4 million. Non-life underwriting risk rose slightly by 1.4% to EUR 204.6 million because of growth. The MCR rose slightly by 1.9% to EUR 147.6 million. SCR coverage remained stable at 139%, below the risk appetite of 140%.</t>
  </si>
  <si>
    <t>applies_to</t>
  </si>
  <si>
    <t>from</t>
  </si>
  <si>
    <t>to</t>
  </si>
  <si>
    <t>phrase_up</t>
  </si>
  <si>
    <t>phrase_down</t>
  </si>
  <si>
    <t>note</t>
  </si>
  <si>
    <t>amount</t>
  </si>
  <si>
    <t>remained stable</t>
  </si>
  <si>
    <t>relative change in per cent, absolute value</t>
  </si>
  <si>
    <t>rose slightly</t>
  </si>
  <si>
    <t>fell slightly</t>
  </si>
  <si>
    <t>rose</t>
  </si>
  <si>
    <t>fell</t>
  </si>
  <si>
    <t>rose sharply</t>
  </si>
  <si>
    <t>fell sharply</t>
  </si>
  <si>
    <t>ratio</t>
  </si>
  <si>
    <t>change in percentage points, absolute value</t>
  </si>
  <si>
    <t>preferred</t>
  </si>
  <si>
    <t>avoid</t>
  </si>
  <si>
    <t>SCR coverage</t>
  </si>
  <si>
    <t>solvency ratio; Solvency II ratio; SCR ratio</t>
  </si>
  <si>
    <t>the Company writes 'SCR coverage' and 'MCR coverage', without 'ratio'</t>
  </si>
  <si>
    <t>own funds eligible to cover the SCR</t>
  </si>
  <si>
    <t>available capital; capital resources</t>
  </si>
  <si>
    <t>hybrid capital; hybrids</t>
  </si>
  <si>
    <t>the Company</t>
  </si>
  <si>
    <t>Quillbrook Group</t>
  </si>
  <si>
    <t>Quillbrook Insurance belongs to no group</t>
  </si>
</sst>
</file>

<file path=xl/styles.xml><?xml version="1.0" encoding="utf-8"?>
<styleSheet xmlns="http://schemas.openxmlformats.org/spreadsheetml/2006/main">
  <numFmts count="2">
    <numFmt numFmtId="164" formatCode="#,##0.0"/>
    <numFmt numFmtId="165" formatCode="0.0"/>
  </numFmts>
  <fonts count="6">
    <font>
      <sz val="11"/>
      <color theme="1"/>
      <name val="Calibri"/>
      <family val="2"/>
      <scheme val="minor"/>
    </font>
    <font>
      <b/>
      <sz val="14"/>
      <color rgb="FF0F2B72"/>
      <name val="Calibri"/>
      <family val="2"/>
      <scheme val="minor"/>
    </font>
    <font>
      <b/>
      <sz val="11"/>
      <color theme="1"/>
      <name val="Calibri"/>
      <family val="2"/>
      <scheme val="minor"/>
    </font>
    <font>
      <b/>
      <sz val="11"/>
      <color rgb="FFFFFFFF"/>
      <name val="Calibri"/>
      <family val="2"/>
      <scheme val="minor"/>
    </font>
    <font>
      <b/>
      <sz val="11"/>
      <color rgb="FF009CDB"/>
      <name val="Calibri"/>
      <family val="2"/>
      <scheme val="minor"/>
    </font>
    <font>
      <i/>
      <sz val="11"/>
      <color theme="1"/>
      <name val="Calibri"/>
      <family val="2"/>
      <scheme val="minor"/>
    </font>
  </fonts>
  <fills count="5">
    <fill>
      <patternFill patternType="none"/>
    </fill>
    <fill>
      <patternFill patternType="gray125"/>
    </fill>
    <fill>
      <patternFill patternType="solid">
        <fgColor rgb="FF0F2B72"/>
        <bgColor indexed="64"/>
      </patternFill>
    </fill>
    <fill>
      <patternFill patternType="solid">
        <fgColor rgb="FFFFF8DC"/>
        <bgColor indexed="64"/>
      </patternFill>
    </fill>
    <fill>
      <patternFill patternType="solid">
        <fgColor rgb="FFEEF2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5DEEA"/>
      </left>
      <right style="thin">
        <color rgb="FFD5DEEA"/>
      </right>
      <top style="thin">
        <color rgb="FFD5DEEA"/>
      </top>
      <bottom style="thin">
        <color rgb="FFD5DEEA"/>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vertical="top"/>
    </xf>
    <xf numFmtId="0" fontId="3" fillId="2" borderId="1" xfId="0" applyFont="1" applyFill="1" applyBorder="1" applyAlignment="1">
      <alignment vertical="top" wrapText="1"/>
    </xf>
    <xf numFmtId="164" fontId="0" fillId="3" borderId="2" xfId="0" applyNumberFormat="1" applyFill="1" applyBorder="1"/>
    <xf numFmtId="0" fontId="4" fillId="0" borderId="0" xfId="0" applyFont="1"/>
    <xf numFmtId="164" fontId="5" fillId="4" borderId="2" xfId="0" applyNumberFormat="1" applyFont="1" applyFill="1" applyBorder="1"/>
    <xf numFmtId="165" fontId="5" fillId="4" borderId="2"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width="110.7109375" style="1" customWidth="1"/>
  </cols>
  <sheetData>
    <row r="1" spans="1:1">
      <c r="A1" s="2" t="s">
        <v>0</v>
      </c>
    </row>
    <row r="2" spans="1:1">
      <c r="A2" s="1" t="s">
        <v>1</v>
      </c>
    </row>
    <row r="3" spans="1:1">
      <c r="A3" s="1"/>
    </row>
    <row r="4" spans="1:1">
      <c r="A4" s="1" t="s">
        <v>2</v>
      </c>
    </row>
    <row r="5" spans="1:1">
      <c r="A5" s="1" t="s">
        <v>3</v>
      </c>
    </row>
    <row r="6" spans="1:1">
      <c r="A6" s="1" t="s">
        <v>4</v>
      </c>
    </row>
    <row r="7" spans="1:1">
      <c r="A7" s="1" t="s">
        <v>5</v>
      </c>
    </row>
    <row r="8" spans="1:1">
      <c r="A8" s="1" t="s">
        <v>6</v>
      </c>
    </row>
    <row r="9" spans="1:1">
      <c r="A9"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30.7109375" style="3" customWidth="1"/>
    <col min="2" max="2" width="110.7109375" style="1" customWidth="1"/>
  </cols>
  <sheetData>
    <row r="1" spans="1:2">
      <c r="A1" s="4" t="s">
        <v>8</v>
      </c>
      <c r="B1" s="4" t="s">
        <v>9</v>
      </c>
    </row>
    <row r="2" spans="1:2">
      <c r="A2" s="3" t="s">
        <v>10</v>
      </c>
      <c r="B2" s="1" t="s">
        <v>11</v>
      </c>
    </row>
    <row r="3" spans="1:2">
      <c r="A3" s="3" t="s">
        <v>12</v>
      </c>
      <c r="B3" s="1" t="s">
        <v>13</v>
      </c>
    </row>
    <row r="4" spans="1:2">
      <c r="A4" s="3" t="s">
        <v>14</v>
      </c>
      <c r="B4" s="1" t="s">
        <v>15</v>
      </c>
    </row>
    <row r="5" spans="1:2">
      <c r="A5" s="3" t="s">
        <v>16</v>
      </c>
      <c r="B5" s="1" t="s">
        <v>17</v>
      </c>
    </row>
    <row r="6" spans="1:2">
      <c r="A6" s="3" t="s">
        <v>18</v>
      </c>
      <c r="B6" s="1" t="s">
        <v>19</v>
      </c>
    </row>
    <row r="7" spans="1:2">
      <c r="A7" s="3" t="s">
        <v>20</v>
      </c>
      <c r="B7" s="1" t="s">
        <v>21</v>
      </c>
    </row>
    <row r="8" spans="1:2">
      <c r="A8" s="3" t="s">
        <v>22</v>
      </c>
      <c r="B8" s="1" t="s">
        <v>1</v>
      </c>
    </row>
    <row r="9" spans="1:2">
      <c r="A9" s="3" t="s">
        <v>23</v>
      </c>
      <c r="B9" s="1" t="s">
        <v>24</v>
      </c>
    </row>
    <row r="10" spans="1:2">
      <c r="A10" s="3" t="s">
        <v>25</v>
      </c>
      <c r="B10" s="1"/>
    </row>
    <row r="11" spans="1:2">
      <c r="A11" s="3" t="s">
        <v>26</v>
      </c>
      <c r="B11" s="1" t="s">
        <v>27</v>
      </c>
    </row>
    <row r="12" spans="1:2">
      <c r="A12" s="3" t="s">
        <v>28</v>
      </c>
      <c r="B12" s="1" t="s">
        <v>29</v>
      </c>
    </row>
    <row r="13" spans="1:2">
      <c r="A13" s="3" t="s">
        <v>30</v>
      </c>
      <c r="B13" s="1" t="s">
        <v>31</v>
      </c>
    </row>
    <row r="14" spans="1:2">
      <c r="A14" s="3" t="s">
        <v>32</v>
      </c>
      <c r="B14" s="1" t="s">
        <v>33</v>
      </c>
    </row>
    <row r="15" spans="1:2">
      <c r="A15" s="3" t="s">
        <v>34</v>
      </c>
      <c r="B15" s="1" t="s">
        <v>35</v>
      </c>
    </row>
    <row r="16" spans="1:2">
      <c r="A16" s="3" t="s">
        <v>36</v>
      </c>
      <c r="B16" s="1" t="s">
        <v>37</v>
      </c>
    </row>
    <row r="17" spans="1:2">
      <c r="A17" s="3" t="s">
        <v>38</v>
      </c>
      <c r="B17" s="1" t="s">
        <v>39</v>
      </c>
    </row>
    <row r="18" spans="1:2">
      <c r="A18" s="3" t="s">
        <v>40</v>
      </c>
      <c r="B18" s="1" t="s">
        <v>41</v>
      </c>
    </row>
    <row r="19" spans="1:2">
      <c r="A19" s="3" t="s">
        <v>42</v>
      </c>
      <c r="B19" s="1" t="s">
        <v>43</v>
      </c>
    </row>
    <row r="20" spans="1:2">
      <c r="A20" s="3" t="s">
        <v>44</v>
      </c>
      <c r="B20" s="1" t="s">
        <v>37</v>
      </c>
    </row>
    <row r="21" spans="1:2">
      <c r="A21" s="3" t="s">
        <v>45</v>
      </c>
      <c r="B21" s="1" t="s">
        <v>37</v>
      </c>
    </row>
    <row r="22" spans="1:2">
      <c r="A22" s="3" t="s">
        <v>46</v>
      </c>
      <c r="B22" s="1" t="s">
        <v>47</v>
      </c>
    </row>
    <row r="23" spans="1:2">
      <c r="A23" s="3" t="s">
        <v>48</v>
      </c>
      <c r="B23" s="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58.7109375" customWidth="1"/>
    <col min="3" max="5" width="9.7109375" customWidth="1"/>
    <col min="6" max="12" width="11.7109375" customWidth="1"/>
  </cols>
  <sheetData>
    <row r="1" spans="1:11">
      <c r="A1" s="4" t="s">
        <v>50</v>
      </c>
      <c r="B1" s="4" t="s">
        <v>51</v>
      </c>
      <c r="C1" s="4" t="s">
        <v>52</v>
      </c>
      <c r="D1" s="4" t="s">
        <v>53</v>
      </c>
      <c r="E1" s="4" t="s">
        <v>54</v>
      </c>
      <c r="F1" s="4" t="s">
        <v>55</v>
      </c>
      <c r="G1" s="4" t="s">
        <v>56</v>
      </c>
      <c r="H1" s="4" t="s">
        <v>57</v>
      </c>
      <c r="I1" s="4" t="s">
        <v>58</v>
      </c>
      <c r="J1" s="4" t="s">
        <v>59</v>
      </c>
      <c r="K1" s="4" t="s">
        <v>60</v>
      </c>
    </row>
    <row r="2" spans="1:11">
      <c r="A2" t="s">
        <v>61</v>
      </c>
      <c r="B2" t="s">
        <v>62</v>
      </c>
      <c r="C2" t="s">
        <v>63</v>
      </c>
      <c r="D2" t="s">
        <v>64</v>
      </c>
      <c r="E2" t="s">
        <v>65</v>
      </c>
      <c r="F2" s="5">
        <v>241</v>
      </c>
      <c r="G2" s="5">
        <v>228.7</v>
      </c>
      <c r="H2" s="5">
        <v>236.2</v>
      </c>
      <c r="I2" s="5">
        <v>244.9</v>
      </c>
      <c r="J2" s="5">
        <v>252.7</v>
      </c>
      <c r="K2" s="5">
        <v>247.3</v>
      </c>
    </row>
    <row r="3" spans="1:11">
      <c r="A3" t="s">
        <v>66</v>
      </c>
      <c r="B3" t="s">
        <v>67</v>
      </c>
      <c r="C3" t="s">
        <v>63</v>
      </c>
      <c r="D3" t="s">
        <v>64</v>
      </c>
      <c r="E3" t="s">
        <v>65</v>
      </c>
      <c r="F3" s="5">
        <v>35.6</v>
      </c>
      <c r="G3" s="5">
        <v>37.9</v>
      </c>
      <c r="H3" s="5">
        <v>38.8</v>
      </c>
      <c r="I3" s="5">
        <v>40.3</v>
      </c>
      <c r="J3" s="5">
        <v>41.1</v>
      </c>
      <c r="K3" s="5">
        <v>43.4</v>
      </c>
    </row>
    <row r="4" spans="1:11">
      <c r="A4" t="s">
        <v>68</v>
      </c>
      <c r="B4" t="s">
        <v>69</v>
      </c>
      <c r="C4" t="s">
        <v>63</v>
      </c>
      <c r="D4" t="s">
        <v>64</v>
      </c>
      <c r="E4" t="s">
        <v>65</v>
      </c>
      <c r="F4" s="5">
        <v>118.9</v>
      </c>
      <c r="G4" s="5">
        <v>113.4</v>
      </c>
      <c r="H4" s="5">
        <v>121.7</v>
      </c>
      <c r="I4" s="5">
        <v>125.2</v>
      </c>
      <c r="J4" s="5">
        <v>128.3</v>
      </c>
      <c r="K4" s="5">
        <v>131.9</v>
      </c>
    </row>
    <row r="5" spans="1:11">
      <c r="A5" t="s">
        <v>70</v>
      </c>
      <c r="B5" t="s">
        <v>71</v>
      </c>
      <c r="C5" t="s">
        <v>63</v>
      </c>
      <c r="D5" t="s">
        <v>64</v>
      </c>
      <c r="E5" t="s">
        <v>65</v>
      </c>
      <c r="F5" s="5">
        <v>41.2</v>
      </c>
      <c r="G5" s="5">
        <v>43</v>
      </c>
      <c r="H5" s="5">
        <v>44.6</v>
      </c>
      <c r="I5" s="5">
        <v>45.9</v>
      </c>
      <c r="J5" s="5">
        <v>47</v>
      </c>
      <c r="K5" s="5">
        <v>48.8</v>
      </c>
    </row>
    <row r="6" spans="1:11">
      <c r="A6" t="s">
        <v>72</v>
      </c>
      <c r="B6" t="s">
        <v>73</v>
      </c>
      <c r="C6" t="s">
        <v>63</v>
      </c>
      <c r="D6" t="s">
        <v>64</v>
      </c>
      <c r="E6" t="s">
        <v>65</v>
      </c>
      <c r="F6" s="5">
        <v>176.5</v>
      </c>
      <c r="G6" s="5">
        <v>189.6</v>
      </c>
      <c r="H6" s="5">
        <v>197.3</v>
      </c>
      <c r="I6" s="5">
        <v>201.8</v>
      </c>
      <c r="J6" s="5">
        <v>204.6</v>
      </c>
      <c r="K6" s="5">
        <v>209.7</v>
      </c>
    </row>
    <row r="7" spans="1:11">
      <c r="A7" t="s">
        <v>74</v>
      </c>
      <c r="B7" t="s">
        <v>75</v>
      </c>
      <c r="C7" t="s">
        <v>63</v>
      </c>
      <c r="D7" t="s">
        <v>64</v>
      </c>
      <c r="E7" t="s">
        <v>65</v>
      </c>
      <c r="F7" s="5">
        <v>204.7</v>
      </c>
      <c r="G7" s="5">
        <v>205.1</v>
      </c>
      <c r="H7" s="5">
        <v>213.4</v>
      </c>
      <c r="I7" s="5">
        <v>219.9</v>
      </c>
      <c r="J7" s="5">
        <v>225.5</v>
      </c>
      <c r="K7" s="5">
        <v>228</v>
      </c>
    </row>
    <row r="8" spans="1:11">
      <c r="A8" s="6" t="s">
        <v>76</v>
      </c>
      <c r="B8" s="6" t="s">
        <v>77</v>
      </c>
      <c r="C8" s="6" t="s">
        <v>63</v>
      </c>
      <c r="D8" s="6" t="s">
        <v>78</v>
      </c>
      <c r="E8" s="6" t="s">
        <v>65</v>
      </c>
      <c r="F8" s="7">
        <f>ROUND(F2+F3+F4+F5+F6-F7,1)</f>
        <v>408.5</v>
      </c>
      <c r="G8" s="7">
        <f>ROUND(G2+G3+G4+G5+G6-G7,1)</f>
        <v>407.5</v>
      </c>
      <c r="H8" s="7">
        <f>ROUND(H2+H3+H4+H5+H6-H7,1)</f>
        <v>425.2</v>
      </c>
      <c r="I8" s="7">
        <f>ROUND(I2+I3+I4+I5+I6-I7,1)</f>
        <v>438.2</v>
      </c>
      <c r="J8" s="7">
        <f>ROUND(J2+J3+J4+J5+J6-J7,1)</f>
        <v>448.2</v>
      </c>
      <c r="K8" s="7">
        <f>ROUND(K2+K3+K4+K5+K6-K7,1)</f>
        <v>453.1</v>
      </c>
    </row>
    <row r="9" spans="1:11">
      <c r="A9" t="s">
        <v>79</v>
      </c>
      <c r="B9" t="s">
        <v>80</v>
      </c>
      <c r="C9" t="s">
        <v>63</v>
      </c>
      <c r="D9" t="s">
        <v>64</v>
      </c>
      <c r="E9" t="s">
        <v>65</v>
      </c>
      <c r="F9" s="5">
        <v>35.2</v>
      </c>
      <c r="G9" s="5">
        <v>36.3</v>
      </c>
      <c r="H9" s="5">
        <v>37</v>
      </c>
      <c r="I9" s="5">
        <v>38.1</v>
      </c>
      <c r="J9" s="5">
        <v>38.9</v>
      </c>
      <c r="K9" s="5">
        <v>41.4</v>
      </c>
    </row>
    <row r="10" spans="1:11">
      <c r="A10" t="s">
        <v>81</v>
      </c>
      <c r="B10" t="s">
        <v>82</v>
      </c>
      <c r="C10" t="s">
        <v>63</v>
      </c>
      <c r="D10" t="s">
        <v>64</v>
      </c>
      <c r="E10" t="s">
        <v>65</v>
      </c>
      <c r="F10" s="5">
        <v>18.3</v>
      </c>
      <c r="G10" s="5">
        <v>16.9</v>
      </c>
      <c r="H10" s="5">
        <v>18.8</v>
      </c>
      <c r="I10" s="5">
        <v>20.4</v>
      </c>
      <c r="J10" s="5">
        <v>21.6</v>
      </c>
      <c r="K10" s="5">
        <v>22.1</v>
      </c>
    </row>
    <row r="11" spans="1:11">
      <c r="A11" t="s">
        <v>83</v>
      </c>
      <c r="B11" t="s">
        <v>84</v>
      </c>
      <c r="C11" t="s">
        <v>63</v>
      </c>
      <c r="D11" t="s">
        <v>64</v>
      </c>
      <c r="E11" t="s">
        <v>65</v>
      </c>
      <c r="F11" s="5">
        <v>48.2</v>
      </c>
      <c r="G11" s="5">
        <v>47.6</v>
      </c>
      <c r="H11" s="5">
        <v>51.6</v>
      </c>
      <c r="I11" s="5">
        <v>53.8</v>
      </c>
      <c r="J11" s="5">
        <v>55.1</v>
      </c>
      <c r="K11" s="5">
        <v>50.2</v>
      </c>
    </row>
    <row r="12" spans="1:11">
      <c r="A12" s="6" t="s">
        <v>85</v>
      </c>
      <c r="B12" s="6" t="s">
        <v>86</v>
      </c>
      <c r="C12" s="6" t="s">
        <v>63</v>
      </c>
      <c r="D12" s="6" t="s">
        <v>78</v>
      </c>
      <c r="E12" s="6" t="s">
        <v>65</v>
      </c>
      <c r="F12" s="7">
        <f>ROUND(F8+F9-F10-F11,1)</f>
        <v>377.2</v>
      </c>
      <c r="G12" s="7">
        <f>ROUND(G8+G9-G10-G11,1)</f>
        <v>379.3</v>
      </c>
      <c r="H12" s="7">
        <f>ROUND(H8+H9-H10-H11,1)</f>
        <v>391.8</v>
      </c>
      <c r="I12" s="7">
        <f>ROUND(I8+I9-I10-I11,1)</f>
        <v>402.1</v>
      </c>
      <c r="J12" s="7">
        <f>ROUND(J8+J9-J10-J11,1)</f>
        <v>410.4</v>
      </c>
      <c r="K12" s="7">
        <f>ROUND(K8+K9-K10-K11,1)</f>
        <v>422.2</v>
      </c>
    </row>
    <row r="13" spans="1:11">
      <c r="A13" t="s">
        <v>87</v>
      </c>
      <c r="B13" t="s">
        <v>88</v>
      </c>
      <c r="C13" t="s">
        <v>63</v>
      </c>
      <c r="D13" t="s">
        <v>64</v>
      </c>
      <c r="E13" t="s">
        <v>65</v>
      </c>
      <c r="F13" s="5">
        <v>135.8</v>
      </c>
      <c r="G13" s="5">
        <v>137.1</v>
      </c>
      <c r="H13" s="5">
        <v>141.1</v>
      </c>
      <c r="I13" s="5">
        <v>144.8</v>
      </c>
      <c r="J13" s="5">
        <v>147.6</v>
      </c>
      <c r="K13" s="5">
        <v>152</v>
      </c>
    </row>
    <row r="14" spans="1:11">
      <c r="A14" t="s">
        <v>89</v>
      </c>
      <c r="B14" t="s">
        <v>90</v>
      </c>
      <c r="C14" t="s">
        <v>63</v>
      </c>
      <c r="D14" t="s">
        <v>64</v>
      </c>
      <c r="E14" t="s">
        <v>91</v>
      </c>
      <c r="F14" s="5">
        <v>395</v>
      </c>
      <c r="G14" s="5">
        <v>372.4</v>
      </c>
      <c r="H14" s="5">
        <v>381.1</v>
      </c>
      <c r="I14" s="5">
        <v>363.5</v>
      </c>
      <c r="J14" s="5">
        <v>366.9</v>
      </c>
      <c r="K14" s="5">
        <v>352</v>
      </c>
    </row>
    <row r="15" spans="1:11">
      <c r="A15" t="s">
        <v>92</v>
      </c>
      <c r="B15" t="s">
        <v>93</v>
      </c>
      <c r="C15" t="s">
        <v>63</v>
      </c>
      <c r="D15" t="s">
        <v>64</v>
      </c>
      <c r="E15" t="s">
        <v>91</v>
      </c>
      <c r="F15" s="5">
        <v>165</v>
      </c>
      <c r="G15" s="5">
        <v>165</v>
      </c>
      <c r="H15" s="5">
        <v>165</v>
      </c>
      <c r="I15" s="5">
        <v>165</v>
      </c>
      <c r="J15" s="5">
        <v>165</v>
      </c>
      <c r="K15" s="5">
        <v>165</v>
      </c>
    </row>
    <row r="16" spans="1:11">
      <c r="A16" t="s">
        <v>94</v>
      </c>
      <c r="B16" t="s">
        <v>95</v>
      </c>
      <c r="C16" t="s">
        <v>63</v>
      </c>
      <c r="D16" t="s">
        <v>64</v>
      </c>
      <c r="E16" t="s">
        <v>91</v>
      </c>
      <c r="F16" s="5">
        <v>41.8</v>
      </c>
      <c r="G16" s="5">
        <v>58.9</v>
      </c>
      <c r="H16" s="5">
        <v>57.3</v>
      </c>
      <c r="I16" s="5">
        <v>66.40000000000001</v>
      </c>
      <c r="J16" s="5">
        <v>61.3</v>
      </c>
      <c r="K16" s="5">
        <v>79.2</v>
      </c>
    </row>
    <row r="17" spans="1:11">
      <c r="A17" s="6" t="s">
        <v>96</v>
      </c>
      <c r="B17" s="6" t="s">
        <v>97</v>
      </c>
      <c r="C17" s="6" t="s">
        <v>63</v>
      </c>
      <c r="D17" s="6" t="s">
        <v>78</v>
      </c>
      <c r="E17" s="6" t="s">
        <v>91</v>
      </c>
      <c r="F17" s="7">
        <f>ROUND(F14+F15+F16,1)</f>
        <v>601.8</v>
      </c>
      <c r="G17" s="7">
        <f>ROUND(G14+G15+G16,1)</f>
        <v>596.3</v>
      </c>
      <c r="H17" s="7">
        <f>ROUND(H14+H15+H16,1)</f>
        <v>603.4</v>
      </c>
      <c r="I17" s="7">
        <f>ROUND(I14+I15+I16,1)</f>
        <v>594.9</v>
      </c>
      <c r="J17" s="7">
        <f>ROUND(J14+J15+J16,1)</f>
        <v>593.2</v>
      </c>
      <c r="K17" s="7">
        <f>ROUND(K14+K15+K16,1)</f>
        <v>596.2</v>
      </c>
    </row>
    <row r="18" spans="1:11">
      <c r="A18" s="6" t="s">
        <v>98</v>
      </c>
      <c r="B18" s="6" t="s">
        <v>99</v>
      </c>
      <c r="C18" s="6" t="s">
        <v>63</v>
      </c>
      <c r="D18" s="6" t="s">
        <v>78</v>
      </c>
      <c r="E18" s="6" t="s">
        <v>91</v>
      </c>
      <c r="F18" s="7">
        <f>F14</f>
        <v>395.0</v>
      </c>
      <c r="G18" s="7">
        <f>G14</f>
        <v>372.4</v>
      </c>
      <c r="H18" s="7">
        <f>H14</f>
        <v>381.1</v>
      </c>
      <c r="I18" s="7">
        <f>I14</f>
        <v>363.5</v>
      </c>
      <c r="J18" s="7">
        <f>J14</f>
        <v>366.9</v>
      </c>
      <c r="K18" s="7">
        <f>K14</f>
        <v>352.0</v>
      </c>
    </row>
    <row r="19" spans="1:11">
      <c r="A19" s="6" t="s">
        <v>100</v>
      </c>
      <c r="B19" s="6" t="s">
        <v>101</v>
      </c>
      <c r="C19" s="6" t="s">
        <v>63</v>
      </c>
      <c r="D19" s="6" t="s">
        <v>78</v>
      </c>
      <c r="E19" s="6" t="s">
        <v>91</v>
      </c>
      <c r="F19" s="7">
        <f>ROUND(MAX(0,MIN(F15,0.5*F12-MIN(F16,0.15*F12))),1)</f>
        <v>146.8</v>
      </c>
      <c r="G19" s="7">
        <f>ROUND(MAX(0,MIN(G15,0.5*G12-MIN(G16,0.15*G12))),1)</f>
        <v>132.8</v>
      </c>
      <c r="H19" s="7">
        <f>ROUND(MAX(0,MIN(H15,0.5*H12-MIN(H16,0.15*H12))),1)</f>
        <v>138.6</v>
      </c>
      <c r="I19" s="7">
        <f>ROUND(MAX(0,MIN(I15,0.5*I12-MIN(I16,0.15*I12))),1)</f>
        <v>140.7</v>
      </c>
      <c r="J19" s="7">
        <f>ROUND(MAX(0,MIN(J15,0.5*J12-MIN(J16,0.15*J12))),1)</f>
        <v>143.9</v>
      </c>
      <c r="K19" s="7">
        <f>ROUND(MAX(0,MIN(K15,0.5*K12-MIN(K16,0.15*K12))),1)</f>
        <v>147.8</v>
      </c>
    </row>
    <row r="20" spans="1:11">
      <c r="A20" s="6" t="s">
        <v>102</v>
      </c>
      <c r="B20" s="6" t="s">
        <v>103</v>
      </c>
      <c r="C20" s="6" t="s">
        <v>63</v>
      </c>
      <c r="D20" s="6" t="s">
        <v>78</v>
      </c>
      <c r="E20" s="6" t="s">
        <v>91</v>
      </c>
      <c r="F20" s="7">
        <f>ROUND(MIN(F16,0.15*F12),1)</f>
        <v>41.8</v>
      </c>
      <c r="G20" s="7">
        <f>ROUND(MIN(G16,0.15*G12),1)</f>
        <v>56.9</v>
      </c>
      <c r="H20" s="7">
        <f>ROUND(MIN(H16,0.15*H12),1)</f>
        <v>57.3</v>
      </c>
      <c r="I20" s="7">
        <f>ROUND(MIN(I16,0.15*I12),1)</f>
        <v>60.3</v>
      </c>
      <c r="J20" s="7">
        <f>ROUND(MIN(J16,0.15*J12),1)</f>
        <v>61.3</v>
      </c>
      <c r="K20" s="7">
        <f>ROUND(MIN(K16,0.15*K12),1)</f>
        <v>63.3</v>
      </c>
    </row>
    <row r="21" spans="1:11">
      <c r="A21" s="6" t="s">
        <v>104</v>
      </c>
      <c r="B21" s="6" t="s">
        <v>105</v>
      </c>
      <c r="C21" s="6" t="s">
        <v>63</v>
      </c>
      <c r="D21" s="6" t="s">
        <v>78</v>
      </c>
      <c r="E21" s="6" t="s">
        <v>91</v>
      </c>
      <c r="F21" s="7">
        <f>ROUND(F18+F19+F20,1)</f>
        <v>583.6</v>
      </c>
      <c r="G21" s="7">
        <f>ROUND(G18+G19+G20,1)</f>
        <v>562.1</v>
      </c>
      <c r="H21" s="7">
        <f>ROUND(H18+H19+H20,1)</f>
        <v>577.0</v>
      </c>
      <c r="I21" s="7">
        <f>ROUND(I18+I19+I20,1)</f>
        <v>564.5</v>
      </c>
      <c r="J21" s="7">
        <f>ROUND(J18+J19+J20,1)</f>
        <v>572.1</v>
      </c>
      <c r="K21" s="7">
        <f>ROUND(K18+K19+K20,1)</f>
        <v>563.1</v>
      </c>
    </row>
    <row r="22" spans="1:11">
      <c r="A22" s="6" t="s">
        <v>106</v>
      </c>
      <c r="B22" s="6" t="s">
        <v>107</v>
      </c>
      <c r="C22" s="6" t="s">
        <v>63</v>
      </c>
      <c r="D22" s="6" t="s">
        <v>78</v>
      </c>
      <c r="E22" s="6" t="s">
        <v>91</v>
      </c>
      <c r="F22" s="7">
        <f>F14</f>
        <v>395.0</v>
      </c>
      <c r="G22" s="7">
        <f>G14</f>
        <v>372.4</v>
      </c>
      <c r="H22" s="7">
        <f>H14</f>
        <v>381.1</v>
      </c>
      <c r="I22" s="7">
        <f>I14</f>
        <v>363.5</v>
      </c>
      <c r="J22" s="7">
        <f>J14</f>
        <v>366.9</v>
      </c>
      <c r="K22" s="7">
        <f>K14</f>
        <v>352.0</v>
      </c>
    </row>
    <row r="23" spans="1:11">
      <c r="A23" s="6" t="s">
        <v>108</v>
      </c>
      <c r="B23" s="6" t="s">
        <v>109</v>
      </c>
      <c r="C23" s="6" t="s">
        <v>63</v>
      </c>
      <c r="D23" s="6" t="s">
        <v>78</v>
      </c>
      <c r="E23" s="6" t="s">
        <v>91</v>
      </c>
      <c r="F23" s="7">
        <f>ROUND(MIN(F15,0.2*F13),1)</f>
        <v>27.2</v>
      </c>
      <c r="G23" s="7">
        <f>ROUND(MIN(G15,0.2*G13),1)</f>
        <v>27.4</v>
      </c>
      <c r="H23" s="7">
        <f>ROUND(MIN(H15,0.2*H13),1)</f>
        <v>28.2</v>
      </c>
      <c r="I23" s="7">
        <f>ROUND(MIN(I15,0.2*I13),1)</f>
        <v>29.0</v>
      </c>
      <c r="J23" s="7">
        <f>ROUND(MIN(J15,0.2*J13),1)</f>
        <v>29.5</v>
      </c>
      <c r="K23" s="7">
        <f>ROUND(MIN(K15,0.2*K13),1)</f>
        <v>30.4</v>
      </c>
    </row>
    <row r="24" spans="1:11">
      <c r="A24" s="6" t="s">
        <v>110</v>
      </c>
      <c r="B24" s="6" t="s">
        <v>111</v>
      </c>
      <c r="C24" s="6" t="s">
        <v>63</v>
      </c>
      <c r="D24" s="6" t="s">
        <v>78</v>
      </c>
      <c r="E24" s="6" t="s">
        <v>91</v>
      </c>
      <c r="F24" s="7">
        <f>ROUND(F22+F23,1)</f>
        <v>422.2</v>
      </c>
      <c r="G24" s="7">
        <f>ROUND(G22+G23,1)</f>
        <v>399.8</v>
      </c>
      <c r="H24" s="7">
        <f>ROUND(H22+H23,1)</f>
        <v>409.3</v>
      </c>
      <c r="I24" s="7">
        <f>ROUND(I22+I23,1)</f>
        <v>392.5</v>
      </c>
      <c r="J24" s="7">
        <f>ROUND(J22+J23,1)</f>
        <v>396.4</v>
      </c>
      <c r="K24" s="7">
        <f>ROUND(K22+K23,1)</f>
        <v>382.4</v>
      </c>
    </row>
    <row r="25" spans="1:11">
      <c r="A25" s="6" t="s">
        <v>112</v>
      </c>
      <c r="B25" s="6" t="s">
        <v>113</v>
      </c>
      <c r="C25" s="6" t="s">
        <v>63</v>
      </c>
      <c r="D25" s="6" t="s">
        <v>78</v>
      </c>
      <c r="E25" s="6" t="s">
        <v>91</v>
      </c>
      <c r="F25" s="7">
        <f>ROUND(F17-F21,1)</f>
        <v>18.2</v>
      </c>
      <c r="G25" s="7">
        <f>ROUND(G17-G21,1)</f>
        <v>34.2</v>
      </c>
      <c r="H25" s="7">
        <f>ROUND(H17-H21,1)</f>
        <v>26.4</v>
      </c>
      <c r="I25" s="7">
        <f>ROUND(I17-I21,1)</f>
        <v>30.4</v>
      </c>
      <c r="J25" s="7">
        <f>ROUND(J17-J21,1)</f>
        <v>21.1</v>
      </c>
      <c r="K25" s="7">
        <f>ROUND(K17-K21,1)</f>
        <v>33.1</v>
      </c>
    </row>
    <row r="26" spans="1:11">
      <c r="A26" s="6" t="s">
        <v>114</v>
      </c>
      <c r="B26" s="6" t="s">
        <v>115</v>
      </c>
      <c r="C26" s="6" t="s">
        <v>116</v>
      </c>
      <c r="D26" s="6" t="s">
        <v>78</v>
      </c>
      <c r="E26" s="6" t="s">
        <v>65</v>
      </c>
      <c r="F26" s="8">
        <f>100*F21/F12</f>
        <v>154.718982</v>
      </c>
      <c r="G26" s="8">
        <f>100*G21/G12</f>
        <v>148.194042</v>
      </c>
      <c r="H26" s="8">
        <f>100*H21/H12</f>
        <v>147.269015</v>
      </c>
      <c r="I26" s="8">
        <f>100*I21/I12</f>
        <v>140.387963</v>
      </c>
      <c r="J26" s="8">
        <f>100*J21/J12</f>
        <v>139.400585</v>
      </c>
      <c r="K26" s="8">
        <f>100*K21/K12</f>
        <v>133.372809</v>
      </c>
    </row>
    <row r="27" spans="1:11">
      <c r="A27" s="6" t="s">
        <v>117</v>
      </c>
      <c r="B27" s="6" t="s">
        <v>118</v>
      </c>
      <c r="C27" s="6" t="s">
        <v>116</v>
      </c>
      <c r="D27" s="6" t="s">
        <v>78</v>
      </c>
      <c r="E27" s="6" t="s">
        <v>65</v>
      </c>
      <c r="F27" s="8">
        <f>100*F24/F13</f>
        <v>310.89838</v>
      </c>
      <c r="G27" s="8">
        <f>100*G24/G13</f>
        <v>291.611962</v>
      </c>
      <c r="H27" s="8">
        <f>100*H24/H13</f>
        <v>290.077959</v>
      </c>
      <c r="I27" s="8">
        <f>100*I24/I13</f>
        <v>271.063536</v>
      </c>
      <c r="J27" s="8">
        <f>100*J24/J13</f>
        <v>268.563686</v>
      </c>
      <c r="K27" s="8">
        <f>100*K24/K13</f>
        <v>251.578947</v>
      </c>
    </row>
    <row r="28" spans="1:11">
      <c r="A28" t="s">
        <v>119</v>
      </c>
      <c r="B28" t="s">
        <v>120</v>
      </c>
      <c r="C28" t="s">
        <v>63</v>
      </c>
      <c r="D28" t="s">
        <v>64</v>
      </c>
      <c r="E28" t="s">
        <v>121</v>
      </c>
      <c r="F28" s="5">
        <v>440.9</v>
      </c>
      <c r="G28" s="5">
        <v>428</v>
      </c>
      <c r="H28" s="5">
        <v>432.8</v>
      </c>
      <c r="I28" s="5">
        <v>431.7</v>
      </c>
      <c r="J28" s="5">
        <v>421</v>
      </c>
      <c r="K28" s="5">
        <v>408.4</v>
      </c>
    </row>
    <row r="29" spans="1:11">
      <c r="A29" t="s">
        <v>122</v>
      </c>
      <c r="B29" t="s">
        <v>123</v>
      </c>
      <c r="C29" t="s">
        <v>63</v>
      </c>
      <c r="D29" t="s">
        <v>64</v>
      </c>
      <c r="E29" t="s">
        <v>121</v>
      </c>
      <c r="F29" s="5">
        <v>118.6</v>
      </c>
      <c r="G29" s="5">
        <v>127.3</v>
      </c>
      <c r="H29" s="5">
        <v>121.9</v>
      </c>
      <c r="I29" s="5">
        <v>109.4</v>
      </c>
      <c r="J29" s="5">
        <v>114.8</v>
      </c>
      <c r="K29" s="5">
        <v>106.2</v>
      </c>
    </row>
    <row r="30" spans="1:11">
      <c r="A30" t="s">
        <v>124</v>
      </c>
      <c r="B30" t="s">
        <v>125</v>
      </c>
      <c r="C30" t="s">
        <v>63</v>
      </c>
      <c r="D30" t="s">
        <v>64</v>
      </c>
      <c r="E30" t="s">
        <v>121</v>
      </c>
      <c r="F30" s="5">
        <v>-64.2</v>
      </c>
      <c r="G30" s="5">
        <v>-62.7</v>
      </c>
      <c r="H30" s="5">
        <v>-61</v>
      </c>
      <c r="I30" s="5">
        <v>-59.8</v>
      </c>
      <c r="J30" s="5">
        <v>-58.1</v>
      </c>
      <c r="K30" s="5">
        <v>-56.9</v>
      </c>
    </row>
    <row r="31" spans="1:11">
      <c r="A31" t="s">
        <v>126</v>
      </c>
      <c r="B31" t="s">
        <v>127</v>
      </c>
      <c r="C31" t="s">
        <v>63</v>
      </c>
      <c r="D31" t="s">
        <v>64</v>
      </c>
      <c r="E31" t="s">
        <v>121</v>
      </c>
      <c r="F31" s="5">
        <v>-20.1</v>
      </c>
      <c r="G31" s="5">
        <v>-23.4</v>
      </c>
      <c r="H31" s="5">
        <v>-21.2</v>
      </c>
      <c r="I31" s="5">
        <v>-17.6</v>
      </c>
      <c r="J31" s="5">
        <v>-19.9</v>
      </c>
      <c r="K31" s="5">
        <v>-16.3</v>
      </c>
    </row>
    <row r="32" spans="1:11">
      <c r="A32" t="s">
        <v>128</v>
      </c>
      <c r="B32" t="s">
        <v>129</v>
      </c>
      <c r="C32" t="s">
        <v>63</v>
      </c>
      <c r="D32" t="s">
        <v>64</v>
      </c>
      <c r="E32" t="s">
        <v>121</v>
      </c>
      <c r="F32" s="5">
        <v>-8.4</v>
      </c>
      <c r="G32" s="5">
        <v>-7.9</v>
      </c>
      <c r="H32" s="5">
        <v>-9.1</v>
      </c>
      <c r="I32" s="5">
        <v>-8.800000000000001</v>
      </c>
      <c r="J32" s="5">
        <v>-9.6</v>
      </c>
      <c r="K32" s="5">
        <v>-10.2</v>
      </c>
    </row>
    <row r="33" spans="1:11">
      <c r="A33" s="6" t="s">
        <v>130</v>
      </c>
      <c r="B33" s="6" t="s">
        <v>131</v>
      </c>
      <c r="C33" s="6" t="s">
        <v>63</v>
      </c>
      <c r="D33" s="6" t="s">
        <v>78</v>
      </c>
      <c r="E33" s="6" t="s">
        <v>121</v>
      </c>
      <c r="F33" s="7">
        <f>ROUND(F28+F29+F30+F31+F32,1)</f>
        <v>466.8</v>
      </c>
      <c r="G33" s="7">
        <f>ROUND(G28+G29+G30+G31+G32,1)</f>
        <v>461.3</v>
      </c>
      <c r="H33" s="7">
        <f>ROUND(H28+H29+H30+H31+H32,1)</f>
        <v>463.4</v>
      </c>
      <c r="I33" s="7">
        <f>ROUND(I28+I29+I30+I31+I32,1)</f>
        <v>454.9</v>
      </c>
      <c r="J33" s="7">
        <f>ROUND(J28+J29+J30+J31+J32,1)</f>
        <v>448.2</v>
      </c>
      <c r="K33" s="7">
        <f>ROUND(K28+K29+K30+K31+K32,1)</f>
        <v>431.2</v>
      </c>
    </row>
    <row r="34" spans="1:11">
      <c r="A34" t="s">
        <v>132</v>
      </c>
      <c r="B34" t="s">
        <v>133</v>
      </c>
      <c r="C34" t="s">
        <v>63</v>
      </c>
      <c r="D34" t="s">
        <v>64</v>
      </c>
      <c r="E34" t="s">
        <v>91</v>
      </c>
      <c r="F34" s="5">
        <v>30</v>
      </c>
      <c r="G34" s="5">
        <v>30</v>
      </c>
      <c r="H34" s="5">
        <v>25</v>
      </c>
      <c r="I34" s="5">
        <v>25</v>
      </c>
      <c r="J34" s="5">
        <v>20</v>
      </c>
      <c r="K34" s="5">
        <v>0</v>
      </c>
    </row>
    <row r="35" spans="1:11">
      <c r="A35" t="s">
        <v>134</v>
      </c>
      <c r="B35" t="s">
        <v>135</v>
      </c>
      <c r="C35" t="s">
        <v>63</v>
      </c>
      <c r="D35" t="s">
        <v>64</v>
      </c>
      <c r="E35" t="s">
        <v>91</v>
      </c>
      <c r="F35" s="5">
        <v>165</v>
      </c>
      <c r="G35" s="5">
        <v>165</v>
      </c>
      <c r="H35" s="5">
        <v>165</v>
      </c>
      <c r="I35" s="5">
        <v>165</v>
      </c>
      <c r="J35" s="5">
        <v>165</v>
      </c>
      <c r="K35" s="5">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5"/>
  <sheetViews>
    <sheetView workbookViewId="0"/>
  </sheetViews>
  <sheetFormatPr defaultRowHeight="15"/>
  <cols>
    <col min="1" max="2" width="7.7109375" customWidth="1"/>
    <col min="3" max="3" width="24.7109375" customWidth="1"/>
    <col min="4" max="4" width="120.7109375" style="1" customWidth="1"/>
  </cols>
  <sheetData>
    <row r="1" spans="1:4">
      <c r="A1" s="4" t="s">
        <v>136</v>
      </c>
      <c r="B1" s="4" t="s">
        <v>50</v>
      </c>
      <c r="C1" s="4" t="s">
        <v>137</v>
      </c>
      <c r="D1" s="4" t="s">
        <v>138</v>
      </c>
    </row>
    <row r="2" spans="1:4">
      <c r="A2" s="1">
        <v>2022</v>
      </c>
      <c r="B2" s="1" t="s">
        <v>139</v>
      </c>
      <c r="C2" s="1" t="s">
        <v>140</v>
      </c>
      <c r="D2" s="1" t="s">
        <v>141</v>
      </c>
    </row>
    <row r="3" spans="1:4">
      <c r="A3" s="1">
        <v>2022</v>
      </c>
      <c r="B3" s="1" t="s">
        <v>142</v>
      </c>
      <c r="C3" s="1" t="s">
        <v>143</v>
      </c>
      <c r="D3" s="1" t="s">
        <v>144</v>
      </c>
    </row>
    <row r="4" spans="1:4">
      <c r="A4" s="1">
        <v>2022</v>
      </c>
      <c r="B4" s="1" t="s">
        <v>145</v>
      </c>
      <c r="C4" s="1" t="s">
        <v>146</v>
      </c>
      <c r="D4" s="1" t="s">
        <v>147</v>
      </c>
    </row>
    <row r="5" spans="1:4">
      <c r="A5" s="1">
        <v>2022</v>
      </c>
      <c r="B5" s="1" t="s">
        <v>148</v>
      </c>
      <c r="C5" s="1" t="s">
        <v>149</v>
      </c>
      <c r="D5" s="1" t="s">
        <v>150</v>
      </c>
    </row>
    <row r="6" spans="1:4">
      <c r="A6" s="1">
        <v>2022</v>
      </c>
      <c r="B6" s="1" t="s">
        <v>151</v>
      </c>
      <c r="C6" s="1" t="s">
        <v>152</v>
      </c>
      <c r="D6" s="1" t="s">
        <v>153</v>
      </c>
    </row>
    <row r="7" spans="1:4">
      <c r="A7" s="1">
        <v>2023</v>
      </c>
      <c r="B7" s="1" t="s">
        <v>139</v>
      </c>
      <c r="C7" s="1" t="s">
        <v>154</v>
      </c>
      <c r="D7" s="1" t="s">
        <v>155</v>
      </c>
    </row>
    <row r="8" spans="1:4">
      <c r="A8" s="1">
        <v>2023</v>
      </c>
      <c r="B8" s="1" t="s">
        <v>142</v>
      </c>
      <c r="C8" s="1" t="s">
        <v>156</v>
      </c>
      <c r="D8" s="1" t="s">
        <v>157</v>
      </c>
    </row>
    <row r="9" spans="1:4">
      <c r="A9" s="1">
        <v>2023</v>
      </c>
      <c r="B9" s="1" t="s">
        <v>145</v>
      </c>
      <c r="C9" s="1" t="s">
        <v>158</v>
      </c>
      <c r="D9" s="1" t="s">
        <v>159</v>
      </c>
    </row>
    <row r="10" spans="1:4">
      <c r="A10" s="1">
        <v>2023</v>
      </c>
      <c r="B10" s="1" t="s">
        <v>148</v>
      </c>
      <c r="C10" s="1" t="s">
        <v>146</v>
      </c>
      <c r="D10" s="1" t="s">
        <v>160</v>
      </c>
    </row>
    <row r="11" spans="1:4">
      <c r="A11" s="1">
        <v>2023</v>
      </c>
      <c r="B11" s="1" t="s">
        <v>151</v>
      </c>
      <c r="C11" s="1" t="s">
        <v>152</v>
      </c>
      <c r="D11" s="1" t="s">
        <v>161</v>
      </c>
    </row>
    <row r="12" spans="1:4">
      <c r="A12" s="1">
        <v>2024</v>
      </c>
      <c r="B12" s="1" t="s">
        <v>139</v>
      </c>
      <c r="C12" s="1" t="s">
        <v>162</v>
      </c>
      <c r="D12" s="1" t="s">
        <v>163</v>
      </c>
    </row>
    <row r="13" spans="1:4">
      <c r="A13" s="1">
        <v>2024</v>
      </c>
      <c r="B13" s="1" t="s">
        <v>142</v>
      </c>
      <c r="C13" s="1" t="s">
        <v>143</v>
      </c>
      <c r="D13" s="1" t="s">
        <v>164</v>
      </c>
    </row>
    <row r="14" spans="1:4">
      <c r="A14" s="1">
        <v>2024</v>
      </c>
      <c r="B14" s="1" t="s">
        <v>145</v>
      </c>
      <c r="C14" s="1" t="s">
        <v>165</v>
      </c>
      <c r="D14" s="1" t="s">
        <v>166</v>
      </c>
    </row>
    <row r="15" spans="1:4">
      <c r="A15" s="1">
        <v>2024</v>
      </c>
      <c r="B15" s="1" t="s">
        <v>148</v>
      </c>
      <c r="C15" s="1" t="s">
        <v>152</v>
      </c>
      <c r="D15" s="1" t="s">
        <v>161</v>
      </c>
    </row>
    <row r="16" spans="1:4">
      <c r="A16" s="1">
        <v>2025</v>
      </c>
      <c r="B16" s="1" t="s">
        <v>139</v>
      </c>
      <c r="C16" s="1" t="s">
        <v>152</v>
      </c>
      <c r="D16" s="1" t="s">
        <v>167</v>
      </c>
    </row>
    <row r="17" spans="1:4">
      <c r="A17" s="1">
        <v>2025</v>
      </c>
      <c r="B17" s="1" t="s">
        <v>142</v>
      </c>
      <c r="C17" s="1" t="s">
        <v>156</v>
      </c>
      <c r="D17" s="1" t="s">
        <v>168</v>
      </c>
    </row>
    <row r="18" spans="1:4">
      <c r="A18" s="1">
        <v>2025</v>
      </c>
      <c r="B18" s="1" t="s">
        <v>145</v>
      </c>
      <c r="C18" s="1" t="s">
        <v>143</v>
      </c>
      <c r="D18" s="1" t="s">
        <v>169</v>
      </c>
    </row>
    <row r="19" spans="1:4">
      <c r="A19" s="1">
        <v>2025</v>
      </c>
      <c r="B19" s="1" t="s">
        <v>148</v>
      </c>
      <c r="C19" s="1" t="s">
        <v>170</v>
      </c>
      <c r="D19" s="1" t="s">
        <v>171</v>
      </c>
    </row>
    <row r="20" spans="1:4">
      <c r="A20" s="1">
        <v>2026</v>
      </c>
      <c r="B20" s="1" t="s">
        <v>139</v>
      </c>
      <c r="C20" s="1" t="s">
        <v>172</v>
      </c>
      <c r="D20" s="1" t="s">
        <v>173</v>
      </c>
    </row>
    <row r="21" spans="1:4">
      <c r="A21" s="1">
        <v>2026</v>
      </c>
      <c r="B21" s="1" t="s">
        <v>142</v>
      </c>
      <c r="C21" s="1" t="s">
        <v>143</v>
      </c>
      <c r="D21" s="1" t="s">
        <v>164</v>
      </c>
    </row>
    <row r="22" spans="1:4">
      <c r="A22" s="1">
        <v>2026</v>
      </c>
      <c r="B22" s="1" t="s">
        <v>145</v>
      </c>
      <c r="C22" s="1" t="s">
        <v>152</v>
      </c>
      <c r="D22" s="1" t="s">
        <v>174</v>
      </c>
    </row>
    <row r="23" spans="1:4">
      <c r="A23" s="1">
        <v>2026</v>
      </c>
      <c r="B23" s="1" t="s">
        <v>148</v>
      </c>
      <c r="C23" s="1" t="s">
        <v>175</v>
      </c>
      <c r="D23" s="1" t="s">
        <v>176</v>
      </c>
    </row>
    <row r="24" spans="1:4">
      <c r="A24" s="1">
        <v>2026</v>
      </c>
      <c r="B24" s="1" t="s">
        <v>151</v>
      </c>
      <c r="C24" s="1" t="s">
        <v>177</v>
      </c>
      <c r="D24" s="1" t="s">
        <v>178</v>
      </c>
    </row>
    <row r="25" spans="1:4">
      <c r="A25" s="1">
        <v>2026</v>
      </c>
      <c r="B25" s="1" t="s">
        <v>179</v>
      </c>
      <c r="C25" s="1" t="s">
        <v>180</v>
      </c>
      <c r="D25" s="1"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9"/>
  <sheetViews>
    <sheetView workbookViewId="0"/>
  </sheetViews>
  <sheetFormatPr defaultRowHeight="15"/>
  <cols>
    <col min="1" max="2" width="8.7109375" customWidth="1"/>
    <col min="3" max="3" width="18.7109375" customWidth="1"/>
    <col min="4" max="4" width="34.7109375" style="1" customWidth="1"/>
    <col min="5" max="5" width="12.7109375" customWidth="1"/>
    <col min="6" max="6" width="120.7109375" style="1" customWidth="1"/>
  </cols>
  <sheetData>
    <row r="1" spans="1:6">
      <c r="A1" s="4" t="s">
        <v>136</v>
      </c>
      <c r="B1" s="4" t="s">
        <v>54</v>
      </c>
      <c r="C1" s="4" t="s">
        <v>182</v>
      </c>
      <c r="D1" s="4" t="s">
        <v>183</v>
      </c>
      <c r="E1" s="4" t="s">
        <v>184</v>
      </c>
      <c r="F1" s="4" t="s">
        <v>138</v>
      </c>
    </row>
    <row r="2" spans="1:6">
      <c r="A2" s="1">
        <v>2022</v>
      </c>
      <c r="B2" s="1" t="s">
        <v>91</v>
      </c>
      <c r="C2" s="1" t="s">
        <v>185</v>
      </c>
      <c r="D2" s="1" t="s">
        <v>186</v>
      </c>
      <c r="E2" s="1"/>
      <c r="F2" s="1" t="s">
        <v>187</v>
      </c>
    </row>
    <row r="3" spans="1:6">
      <c r="A3" s="1">
        <v>2022</v>
      </c>
      <c r="B3" s="1" t="s">
        <v>91</v>
      </c>
      <c r="C3" s="1" t="s">
        <v>188</v>
      </c>
      <c r="D3" s="1" t="s">
        <v>189</v>
      </c>
      <c r="E3" s="1" t="s">
        <v>190</v>
      </c>
      <c r="F3" s="1" t="s">
        <v>191</v>
      </c>
    </row>
    <row r="4" spans="1:6">
      <c r="A4" s="1">
        <v>2022</v>
      </c>
      <c r="B4" s="1" t="s">
        <v>91</v>
      </c>
      <c r="C4" s="1" t="s">
        <v>192</v>
      </c>
      <c r="D4" s="1" t="s">
        <v>193</v>
      </c>
      <c r="E4" s="1" t="s">
        <v>194</v>
      </c>
      <c r="F4" s="1" t="s">
        <v>195</v>
      </c>
    </row>
    <row r="5" spans="1:6">
      <c r="A5" s="1">
        <v>2022</v>
      </c>
      <c r="B5" s="1" t="s">
        <v>91</v>
      </c>
      <c r="C5" s="1" t="s">
        <v>196</v>
      </c>
      <c r="D5" s="1" t="s">
        <v>197</v>
      </c>
      <c r="E5" s="1"/>
      <c r="F5" s="1" t="s">
        <v>198</v>
      </c>
    </row>
    <row r="6" spans="1:6">
      <c r="A6" s="1">
        <v>2022</v>
      </c>
      <c r="B6" s="1" t="s">
        <v>65</v>
      </c>
      <c r="C6" s="1" t="s">
        <v>199</v>
      </c>
      <c r="D6" s="1" t="s">
        <v>200</v>
      </c>
      <c r="E6" s="1"/>
      <c r="F6" s="1" t="s">
        <v>201</v>
      </c>
    </row>
    <row r="7" spans="1:6">
      <c r="A7" s="1">
        <v>2022</v>
      </c>
      <c r="B7" s="1" t="s">
        <v>65</v>
      </c>
      <c r="C7" s="1" t="s">
        <v>202</v>
      </c>
      <c r="D7" s="1" t="s">
        <v>203</v>
      </c>
      <c r="E7" s="1"/>
      <c r="F7" s="1" t="s">
        <v>204</v>
      </c>
    </row>
    <row r="8" spans="1:6">
      <c r="A8" s="1">
        <v>2022</v>
      </c>
      <c r="B8" s="1" t="s">
        <v>65</v>
      </c>
      <c r="C8" s="1" t="s">
        <v>205</v>
      </c>
      <c r="D8" s="1" t="s">
        <v>206</v>
      </c>
      <c r="E8" s="1" t="s">
        <v>207</v>
      </c>
      <c r="F8" s="1" t="s">
        <v>208</v>
      </c>
    </row>
    <row r="9" spans="1:6">
      <c r="A9" s="1">
        <v>2023</v>
      </c>
      <c r="B9" s="1" t="s">
        <v>91</v>
      </c>
      <c r="C9" s="1" t="s">
        <v>185</v>
      </c>
      <c r="D9" s="1" t="s">
        <v>186</v>
      </c>
      <c r="E9" s="1"/>
      <c r="F9" s="1" t="s">
        <v>209</v>
      </c>
    </row>
    <row r="10" spans="1:6">
      <c r="A10" s="1">
        <v>2023</v>
      </c>
      <c r="B10" s="1" t="s">
        <v>91</v>
      </c>
      <c r="C10" s="1" t="s">
        <v>188</v>
      </c>
      <c r="D10" s="1" t="s">
        <v>189</v>
      </c>
      <c r="E10" s="1" t="s">
        <v>210</v>
      </c>
      <c r="F10" s="1" t="s">
        <v>211</v>
      </c>
    </row>
    <row r="11" spans="1:6">
      <c r="A11" s="1">
        <v>2023</v>
      </c>
      <c r="B11" s="1" t="s">
        <v>91</v>
      </c>
      <c r="C11" s="1" t="s">
        <v>192</v>
      </c>
      <c r="D11" s="1" t="s">
        <v>193</v>
      </c>
      <c r="E11" s="1" t="s">
        <v>148</v>
      </c>
      <c r="F11" s="1" t="s">
        <v>212</v>
      </c>
    </row>
    <row r="12" spans="1:6">
      <c r="A12" s="1">
        <v>2023</v>
      </c>
      <c r="B12" s="1" t="s">
        <v>91</v>
      </c>
      <c r="C12" s="1" t="s">
        <v>196</v>
      </c>
      <c r="D12" s="1" t="s">
        <v>197</v>
      </c>
      <c r="E12" s="1"/>
      <c r="F12" s="1" t="s">
        <v>213</v>
      </c>
    </row>
    <row r="13" spans="1:6">
      <c r="A13" s="1">
        <v>2023</v>
      </c>
      <c r="B13" s="1" t="s">
        <v>65</v>
      </c>
      <c r="C13" s="1" t="s">
        <v>199</v>
      </c>
      <c r="D13" s="1" t="s">
        <v>200</v>
      </c>
      <c r="E13" s="1"/>
      <c r="F13" s="1" t="s">
        <v>214</v>
      </c>
    </row>
    <row r="14" spans="1:6">
      <c r="A14" s="1">
        <v>2023</v>
      </c>
      <c r="B14" s="1" t="s">
        <v>65</v>
      </c>
      <c r="C14" s="1" t="s">
        <v>202</v>
      </c>
      <c r="D14" s="1" t="s">
        <v>203</v>
      </c>
      <c r="E14" s="1"/>
      <c r="F14" s="1" t="s">
        <v>204</v>
      </c>
    </row>
    <row r="15" spans="1:6">
      <c r="A15" s="1">
        <v>2023</v>
      </c>
      <c r="B15" s="1" t="s">
        <v>65</v>
      </c>
      <c r="C15" s="1" t="s">
        <v>205</v>
      </c>
      <c r="D15" s="1" t="s">
        <v>206</v>
      </c>
      <c r="E15" s="1" t="s">
        <v>215</v>
      </c>
      <c r="F15" s="1" t="s">
        <v>216</v>
      </c>
    </row>
    <row r="16" spans="1:6">
      <c r="A16" s="1">
        <v>2024</v>
      </c>
      <c r="B16" s="1" t="s">
        <v>91</v>
      </c>
      <c r="C16" s="1" t="s">
        <v>185</v>
      </c>
      <c r="D16" s="1" t="s">
        <v>186</v>
      </c>
      <c r="E16" s="1" t="s">
        <v>145</v>
      </c>
      <c r="F16" s="1" t="s">
        <v>217</v>
      </c>
    </row>
    <row r="17" spans="1:6">
      <c r="A17" s="1">
        <v>2024</v>
      </c>
      <c r="B17" s="1" t="s">
        <v>91</v>
      </c>
      <c r="C17" s="1" t="s">
        <v>188</v>
      </c>
      <c r="D17" s="1" t="s">
        <v>189</v>
      </c>
      <c r="E17" s="1" t="s">
        <v>207</v>
      </c>
      <c r="F17" s="1" t="s">
        <v>218</v>
      </c>
    </row>
    <row r="18" spans="1:6">
      <c r="A18" s="1">
        <v>2024</v>
      </c>
      <c r="B18" s="1" t="s">
        <v>91</v>
      </c>
      <c r="C18" s="1" t="s">
        <v>192</v>
      </c>
      <c r="D18" s="1" t="s">
        <v>193</v>
      </c>
      <c r="E18" s="1" t="s">
        <v>142</v>
      </c>
      <c r="F18" s="1" t="s">
        <v>219</v>
      </c>
    </row>
    <row r="19" spans="1:6">
      <c r="A19" s="1">
        <v>2024</v>
      </c>
      <c r="B19" s="1" t="s">
        <v>91</v>
      </c>
      <c r="C19" s="1" t="s">
        <v>196</v>
      </c>
      <c r="D19" s="1" t="s">
        <v>197</v>
      </c>
      <c r="E19" s="1"/>
      <c r="F19" s="1" t="s">
        <v>220</v>
      </c>
    </row>
    <row r="20" spans="1:6">
      <c r="A20" s="1">
        <v>2024</v>
      </c>
      <c r="B20" s="1" t="s">
        <v>65</v>
      </c>
      <c r="C20" s="1" t="s">
        <v>199</v>
      </c>
      <c r="D20" s="1" t="s">
        <v>200</v>
      </c>
      <c r="E20" s="1"/>
      <c r="F20" s="1" t="s">
        <v>221</v>
      </c>
    </row>
    <row r="21" spans="1:6">
      <c r="A21" s="1">
        <v>2024</v>
      </c>
      <c r="B21" s="1" t="s">
        <v>65</v>
      </c>
      <c r="C21" s="1" t="s">
        <v>202</v>
      </c>
      <c r="D21" s="1" t="s">
        <v>203</v>
      </c>
      <c r="E21" s="1"/>
      <c r="F21" s="1" t="s">
        <v>204</v>
      </c>
    </row>
    <row r="22" spans="1:6">
      <c r="A22" s="1">
        <v>2024</v>
      </c>
      <c r="B22" s="1" t="s">
        <v>65</v>
      </c>
      <c r="C22" s="1" t="s">
        <v>205</v>
      </c>
      <c r="D22" s="1" t="s">
        <v>206</v>
      </c>
      <c r="E22" s="1" t="s">
        <v>222</v>
      </c>
      <c r="F22" s="1" t="s">
        <v>223</v>
      </c>
    </row>
    <row r="23" spans="1:6">
      <c r="A23" s="1">
        <v>2025</v>
      </c>
      <c r="B23" s="1" t="s">
        <v>91</v>
      </c>
      <c r="C23" s="1" t="s">
        <v>185</v>
      </c>
      <c r="D23" s="1" t="s">
        <v>186</v>
      </c>
      <c r="E23" s="1" t="s">
        <v>224</v>
      </c>
      <c r="F23" s="1" t="s">
        <v>225</v>
      </c>
    </row>
    <row r="24" spans="1:6">
      <c r="A24" s="1">
        <v>2025</v>
      </c>
      <c r="B24" s="1" t="s">
        <v>91</v>
      </c>
      <c r="C24" s="1" t="s">
        <v>188</v>
      </c>
      <c r="D24" s="1" t="s">
        <v>189</v>
      </c>
      <c r="E24" s="1" t="s">
        <v>226</v>
      </c>
      <c r="F24" s="1" t="s">
        <v>227</v>
      </c>
    </row>
    <row r="25" spans="1:6">
      <c r="A25" s="1">
        <v>2025</v>
      </c>
      <c r="B25" s="1" t="s">
        <v>91</v>
      </c>
      <c r="C25" s="1" t="s">
        <v>192</v>
      </c>
      <c r="D25" s="1" t="s">
        <v>193</v>
      </c>
      <c r="E25" s="1"/>
      <c r="F25" s="1" t="s">
        <v>228</v>
      </c>
    </row>
    <row r="26" spans="1:6">
      <c r="A26" s="1">
        <v>2025</v>
      </c>
      <c r="B26" s="1" t="s">
        <v>91</v>
      </c>
      <c r="C26" s="1" t="s">
        <v>196</v>
      </c>
      <c r="D26" s="1" t="s">
        <v>197</v>
      </c>
      <c r="E26" s="1"/>
      <c r="F26" s="1" t="s">
        <v>229</v>
      </c>
    </row>
    <row r="27" spans="1:6">
      <c r="A27" s="1">
        <v>2025</v>
      </c>
      <c r="B27" s="1" t="s">
        <v>65</v>
      </c>
      <c r="C27" s="1" t="s">
        <v>199</v>
      </c>
      <c r="D27" s="1" t="s">
        <v>200</v>
      </c>
      <c r="E27" s="1"/>
      <c r="F27" s="1" t="s">
        <v>230</v>
      </c>
    </row>
    <row r="28" spans="1:6">
      <c r="A28" s="1">
        <v>2025</v>
      </c>
      <c r="B28" s="1" t="s">
        <v>65</v>
      </c>
      <c r="C28" s="1" t="s">
        <v>202</v>
      </c>
      <c r="D28" s="1" t="s">
        <v>203</v>
      </c>
      <c r="E28" s="1"/>
      <c r="F28" s="1" t="s">
        <v>204</v>
      </c>
    </row>
    <row r="29" spans="1:6">
      <c r="A29" s="1">
        <v>2025</v>
      </c>
      <c r="B29" s="1" t="s">
        <v>65</v>
      </c>
      <c r="C29" s="1" t="s">
        <v>205</v>
      </c>
      <c r="D29" s="1" t="s">
        <v>206</v>
      </c>
      <c r="E29" s="1" t="s">
        <v>231</v>
      </c>
      <c r="F29" s="1" t="s">
        <v>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9"/>
  <sheetViews>
    <sheetView workbookViewId="0"/>
  </sheetViews>
  <sheetFormatPr defaultRowHeight="15"/>
  <cols>
    <col min="1" max="3" width="11.7109375" customWidth="1"/>
    <col min="4" max="5" width="26.7109375" customWidth="1"/>
    <col min="6" max="6" width="70.7109375" style="1" customWidth="1"/>
  </cols>
  <sheetData>
    <row r="1" spans="1:6">
      <c r="A1" s="4" t="s">
        <v>233</v>
      </c>
      <c r="B1" s="4" t="s">
        <v>234</v>
      </c>
      <c r="C1" s="4" t="s">
        <v>235</v>
      </c>
      <c r="D1" s="4" t="s">
        <v>236</v>
      </c>
      <c r="E1" s="4" t="s">
        <v>237</v>
      </c>
      <c r="F1" s="4" t="s">
        <v>238</v>
      </c>
    </row>
    <row r="2" spans="1:6">
      <c r="A2" t="s">
        <v>239</v>
      </c>
      <c r="B2">
        <v>0</v>
      </c>
      <c r="C2">
        <v>1</v>
      </c>
      <c r="D2" s="1" t="s">
        <v>240</v>
      </c>
      <c r="E2" s="1" t="s">
        <v>240</v>
      </c>
      <c r="F2" s="1" t="s">
        <v>241</v>
      </c>
    </row>
    <row r="3" spans="1:6">
      <c r="A3" t="s">
        <v>239</v>
      </c>
      <c r="B3">
        <v>1</v>
      </c>
      <c r="C3">
        <v>5</v>
      </c>
      <c r="D3" s="1" t="s">
        <v>242</v>
      </c>
      <c r="E3" s="1" t="s">
        <v>243</v>
      </c>
      <c r="F3" s="1" t="s">
        <v>241</v>
      </c>
    </row>
    <row r="4" spans="1:6">
      <c r="A4" t="s">
        <v>239</v>
      </c>
      <c r="B4">
        <v>5</v>
      </c>
      <c r="C4">
        <v>15</v>
      </c>
      <c r="D4" s="1" t="s">
        <v>244</v>
      </c>
      <c r="E4" s="1" t="s">
        <v>245</v>
      </c>
      <c r="F4" s="1" t="s">
        <v>241</v>
      </c>
    </row>
    <row r="5" spans="1:6">
      <c r="A5" t="s">
        <v>239</v>
      </c>
      <c r="B5">
        <v>15</v>
      </c>
      <c r="D5" s="1" t="s">
        <v>246</v>
      </c>
      <c r="E5" s="1" t="s">
        <v>247</v>
      </c>
      <c r="F5" s="1" t="s">
        <v>241</v>
      </c>
    </row>
    <row r="6" spans="1:6">
      <c r="A6" t="s">
        <v>248</v>
      </c>
      <c r="B6">
        <v>0</v>
      </c>
      <c r="C6">
        <v>2</v>
      </c>
      <c r="D6" s="1" t="s">
        <v>240</v>
      </c>
      <c r="E6" s="1" t="s">
        <v>240</v>
      </c>
      <c r="F6" s="1" t="s">
        <v>249</v>
      </c>
    </row>
    <row r="7" spans="1:6">
      <c r="A7" t="s">
        <v>248</v>
      </c>
      <c r="B7">
        <v>2</v>
      </c>
      <c r="C7">
        <v>10</v>
      </c>
      <c r="D7" s="1" t="s">
        <v>242</v>
      </c>
      <c r="E7" s="1" t="s">
        <v>243</v>
      </c>
      <c r="F7" s="1" t="s">
        <v>249</v>
      </c>
    </row>
    <row r="8" spans="1:6">
      <c r="A8" t="s">
        <v>248</v>
      </c>
      <c r="B8">
        <v>10</v>
      </c>
      <c r="C8">
        <v>25</v>
      </c>
      <c r="D8" s="1" t="s">
        <v>244</v>
      </c>
      <c r="E8" s="1" t="s">
        <v>245</v>
      </c>
      <c r="F8" s="1" t="s">
        <v>249</v>
      </c>
    </row>
    <row r="9" spans="1:6">
      <c r="A9" t="s">
        <v>248</v>
      </c>
      <c r="B9">
        <v>25</v>
      </c>
      <c r="D9" s="1" t="s">
        <v>246</v>
      </c>
      <c r="E9" s="1" t="s">
        <v>247</v>
      </c>
      <c r="F9" s="1" t="s">
        <v>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36.7109375" customWidth="1"/>
    <col min="2" max="2" width="50.7109375" style="1" customWidth="1"/>
    <col min="3" max="3" width="60.7109375" style="1" customWidth="1"/>
  </cols>
  <sheetData>
    <row r="1" spans="1:3">
      <c r="A1" s="4" t="s">
        <v>250</v>
      </c>
      <c r="B1" s="4" t="s">
        <v>251</v>
      </c>
      <c r="C1" s="4" t="s">
        <v>238</v>
      </c>
    </row>
    <row r="2" spans="1:3">
      <c r="A2" s="1" t="s">
        <v>252</v>
      </c>
      <c r="B2" s="1" t="s">
        <v>253</v>
      </c>
      <c r="C2" s="1" t="s">
        <v>254</v>
      </c>
    </row>
    <row r="3" spans="1:3">
      <c r="A3" s="1" t="s">
        <v>255</v>
      </c>
      <c r="B3" s="1" t="s">
        <v>256</v>
      </c>
      <c r="C3" s="1"/>
    </row>
    <row r="4" spans="1:3">
      <c r="A4" s="1" t="s">
        <v>33</v>
      </c>
      <c r="B4" s="1" t="s">
        <v>257</v>
      </c>
      <c r="C4" s="1" t="s">
        <v>93</v>
      </c>
    </row>
    <row r="5" spans="1:3">
      <c r="A5" s="1" t="s">
        <v>258</v>
      </c>
      <c r="B5" s="1" t="s">
        <v>259</v>
      </c>
      <c r="C5" s="1"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Company</vt:lpstr>
      <vt:lpstr>Figures</vt:lpstr>
      <vt:lpstr>Bullets</vt:lpstr>
      <vt:lpstr>Narratives</vt:lpstr>
      <vt:lpstr>House phrases</vt:lpstr>
      <vt:lpstr>Terminology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Quillbrook Insurance: figures, bullets and SFCR texts E.1/E.2 (fictitious)</dc:title>
  <dc:creator>EAA seminar E0572 (synthetic data)</dc:creator>
  <cp:lastModifiedBy>EAA seminar E0572 (synthetic data)</cp:lastModifiedBy>
  <dcterms:created xsi:type="dcterms:W3CDTF">2026-10-01T00:00:00Z</dcterms:created>
  <dcterms:modified xsi:type="dcterms:W3CDTF">2026-10-01T00:00:00Z</dcterms:modified>
</cp:coreProperties>
</file>