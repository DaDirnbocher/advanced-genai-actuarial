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out" sheetId="1" r:id="rId1"/>
    <sheet name="Company" sheetId="2" r:id="rId2"/>
    <sheet name="Figures" sheetId="3" r:id="rId3"/>
    <sheet name="Bullets" sheetId="4" r:id="rId4"/>
    <sheet name="Narratives" sheetId="5" r:id="rId5"/>
    <sheet name="House phrases" sheetId="6" r:id="rId6"/>
    <sheet name="Terminology" sheetId="7" r:id="rId7"/>
  </sheets>
  <calcPr calcId="124519" fullCalcOnLoad="1"/>
</workbook>
</file>

<file path=xl/sharedStrings.xml><?xml version="1.0" encoding="utf-8"?>
<sst xmlns="http://schemas.openxmlformats.org/spreadsheetml/2006/main" count="492" uniqueCount="273">
  <si>
    <t>Brisendale Mutual: figures, driver bullets and SFCR texts for sections E.1 and E.2</t>
  </si>
  <si>
    <t>Brisendale Mutual is a fictitious insurer created for teaching; all figures are synthetic. Its 2025 and 2026 figures are those of the Case Study 5 notebook.</t>
  </si>
  <si>
    <t>This workbook feeds the Case Study 5 report app (apps/cs5_report_generation). Edit it, save it, and upload it in the app.</t>
  </si>
  <si>
    <t>Company: the text facts of the insurer (legal form, capital management policy, calculation methods, risk appetite). appetite_low and appetite_high are numbers in per cent.</t>
  </si>
  <si>
    <t>Figures: EUR million at 31 December. Yellow cells are inputs; grey cells are totals and ratios computed by formulas. The app reads only the inputs and computes every total, every amount eligible under the tier limits and every ratio itself; deductions (diversification, loss-absorbing capacity) are positive amounts.</t>
  </si>
  <si>
    <t>Bullets: the driver bullets of the finance and risk teams for each year. They are the only evidence for a cause that the text may state.</t>
  </si>
  <si>
    <t>Narratives: the E.1 and E.2 texts published for 2022 to 2025, one row per text block (slot); 'based_on' names the bullets a block draws on. 2026 has figures and bullets but no text yet: that is the year to draft.</t>
  </si>
  <si>
    <t>House phrases: the words for a movement by its size (per cent for amounts, percentage points for ratios). Terminology: the house terms and the terms to avoid.</t>
  </si>
  <si>
    <t>field</t>
  </si>
  <si>
    <t>value</t>
  </si>
  <si>
    <t>company_id</t>
  </si>
  <si>
    <t>brisendale</t>
  </si>
  <si>
    <t>company_name</t>
  </si>
  <si>
    <t>Brisendale Mutual</t>
  </si>
  <si>
    <t>legal_form</t>
  </si>
  <si>
    <t>a mutual insurance undertaking owned by its policyholder members; it has no shareholders</t>
  </si>
  <si>
    <t>lines_of_business</t>
  </si>
  <si>
    <t>motor insurance and home insurance (non-life); home insurance in Lithuania under the freedom to provide services since 2025</t>
  </si>
  <si>
    <t>home_member_state</t>
  </si>
  <si>
    <t>Ireland</t>
  </si>
  <si>
    <t>supervisor</t>
  </si>
  <si>
    <t>Home Supervisory Authority (fictitious placeholder)</t>
  </si>
  <si>
    <t>fictitious_note</t>
  </si>
  <si>
    <t>appetite_low</t>
  </si>
  <si>
    <t>160</t>
  </si>
  <si>
    <t>appetite_high</t>
  </si>
  <si>
    <t>capital_policy</t>
  </si>
  <si>
    <t>Hold enough capital of good quality to meet the obligations to policyholder members at all times and to cover the SCR with a margin; the Board approves the capital management policy and reviews it every year as part of the own risk and solvency assessment. As a mutual, Brisendale Mutual pays no dividends; profits are retained in own funds.</t>
  </si>
  <si>
    <t>planning_horizon</t>
  </si>
  <si>
    <t>three years (business plan)</t>
  </si>
  <si>
    <t>tier1_items</t>
  </si>
  <si>
    <t>initial fund and reconciliation reserve</t>
  </si>
  <si>
    <t>tier2_items</t>
  </si>
  <si>
    <t>subordinated notes issued in March 2024</t>
  </si>
  <si>
    <t>tier3_items</t>
  </si>
  <si>
    <t>net deferred tax assets</t>
  </si>
  <si>
    <t>ancillary_own_funds</t>
  </si>
  <si>
    <t>none</t>
  </si>
  <si>
    <t>deductions_restrictions</t>
  </si>
  <si>
    <t>no items deducted; no significant restrictions on availability or transferability</t>
  </si>
  <si>
    <t>calculation</t>
  </si>
  <si>
    <t>standard formula</t>
  </si>
  <si>
    <t>simplifications</t>
  </si>
  <si>
    <t>undertaking_specific_parameters</t>
  </si>
  <si>
    <t>capital_add_on</t>
  </si>
  <si>
    <t>mcr_inputs</t>
  </si>
  <si>
    <t>linear formula for non-life insurance: net best estimate of technical provisions and net written premiums of the last twelve months for each line of business; floor 25% and cap 45% of the SCR</t>
  </si>
  <si>
    <t>style</t>
  </si>
  <si>
    <t>first person plural ('we', 'our'); short sentences; every movement with its size and its cause</t>
  </si>
  <si>
    <t>id</t>
  </si>
  <si>
    <t>item</t>
  </si>
  <si>
    <t>unit</t>
  </si>
  <si>
    <t>kind</t>
  </si>
  <si>
    <t>section</t>
  </si>
  <si>
    <t>2021</t>
  </si>
  <si>
    <t>2022</t>
  </si>
  <si>
    <t>2023</t>
  </si>
  <si>
    <t>2024</t>
  </si>
  <si>
    <t>2025</t>
  </si>
  <si>
    <t>2026</t>
  </si>
  <si>
    <t>scr_market</t>
  </si>
  <si>
    <t>market risk</t>
  </si>
  <si>
    <t>EUR m</t>
  </si>
  <si>
    <t>input</t>
  </si>
  <si>
    <t>E.2</t>
  </si>
  <si>
    <t>scr_default</t>
  </si>
  <si>
    <t>counterparty default risk</t>
  </si>
  <si>
    <t>scr_life</t>
  </si>
  <si>
    <t>life underwriting risk</t>
  </si>
  <si>
    <t>scr_health</t>
  </si>
  <si>
    <t>health underwriting risk</t>
  </si>
  <si>
    <t>scr_nonlife</t>
  </si>
  <si>
    <t>non-life underwriting risk</t>
  </si>
  <si>
    <t>div_benefit</t>
  </si>
  <si>
    <t>diversification benefit (deducted)</t>
  </si>
  <si>
    <t>bscr</t>
  </si>
  <si>
    <t>Basic Solvency Capital Requirement (BSCR)</t>
  </si>
  <si>
    <t>derived</t>
  </si>
  <si>
    <t>scr_operational</t>
  </si>
  <si>
    <t>operational risk</t>
  </si>
  <si>
    <t>lac_tp</t>
  </si>
  <si>
    <t>loss-absorbing capacity of technical provisions (deducted)</t>
  </si>
  <si>
    <t>lac_dt</t>
  </si>
  <si>
    <t>loss-absorbing capacity of deferred taxes (deducted)</t>
  </si>
  <si>
    <t>scr</t>
  </si>
  <si>
    <t>Solvency Capital Requirement (SCR)</t>
  </si>
  <si>
    <t>mcr</t>
  </si>
  <si>
    <t>Minimum Capital Requirement (MCR)</t>
  </si>
  <si>
    <t>of_t1</t>
  </si>
  <si>
    <t>Tier 1 own funds</t>
  </si>
  <si>
    <t>E.1</t>
  </si>
  <si>
    <t>of_t2</t>
  </si>
  <si>
    <t>Tier 2 own funds</t>
  </si>
  <si>
    <t>of_t3</t>
  </si>
  <si>
    <t>Tier 3 own funds</t>
  </si>
  <si>
    <t>of_total</t>
  </si>
  <si>
    <t>total basic own funds</t>
  </si>
  <si>
    <t>eof_scr_t1</t>
  </si>
  <si>
    <t>Tier 1 eligible to cover the SCR</t>
  </si>
  <si>
    <t>eof_scr_t2</t>
  </si>
  <si>
    <t>Tier 2 eligible to cover the SCR</t>
  </si>
  <si>
    <t>eof_scr_t3</t>
  </si>
  <si>
    <t>Tier 3 eligible to cover the SCR</t>
  </si>
  <si>
    <t>eof_scr</t>
  </si>
  <si>
    <t>eligible own funds to cover the SCR</t>
  </si>
  <si>
    <t>eof_mcr_t1</t>
  </si>
  <si>
    <t>Tier 1 eligible to cover the MCR</t>
  </si>
  <si>
    <t>eof_mcr_t2</t>
  </si>
  <si>
    <t>Tier 2 eligible to cover the MCR</t>
  </si>
  <si>
    <t>eof_mcr</t>
  </si>
  <si>
    <t>eligible own funds to cover the MCR</t>
  </si>
  <si>
    <t>of_inelig_scr</t>
  </si>
  <si>
    <t>own funds not eligible to cover the SCR (tier limits)</t>
  </si>
  <si>
    <t>cov_scr</t>
  </si>
  <si>
    <t>SCR coverage ratio</t>
  </si>
  <si>
    <t>%</t>
  </si>
  <si>
    <t>cov_mcr</t>
  </si>
  <si>
    <t>MCR coverage ratio</t>
  </si>
  <si>
    <t>equity_fs</t>
  </si>
  <si>
    <t>equity in the financial statements</t>
  </si>
  <si>
    <t>E.1(e)</t>
  </si>
  <si>
    <t>rec_tp</t>
  </si>
  <si>
    <t>valuation of technical provisions (difference)</t>
  </si>
  <si>
    <t>rec_intangibles</t>
  </si>
  <si>
    <t>intangible assets (difference)</t>
  </si>
  <si>
    <t>rec_dt</t>
  </si>
  <si>
    <t>deferred taxes (difference)</t>
  </si>
  <si>
    <t>rec_other</t>
  </si>
  <si>
    <t>other valuation differences</t>
  </si>
  <si>
    <t>eaol</t>
  </si>
  <si>
    <t>excess of assets over liabilities</t>
  </si>
  <si>
    <t>foreseeable_div</t>
  </si>
  <si>
    <t>foreseeable dividends (deducted)</t>
  </si>
  <si>
    <t>sub_liab</t>
  </si>
  <si>
    <t>subordinated liabilities in basic own funds</t>
  </si>
  <si>
    <t>year</t>
  </si>
  <si>
    <t>topic</t>
  </si>
  <si>
    <t>text</t>
  </si>
  <si>
    <t>B1</t>
  </si>
  <si>
    <t>Interest rates</t>
  </si>
  <si>
    <t>Euro interest rates rose sharply in 2022. The market value of our bond portfolio fell, which reduced Tier 1 own funds; the lower value of the bonds also reduced the capital charge for market risk.</t>
  </si>
  <si>
    <t>B2</t>
  </si>
  <si>
    <t>Claims inflation</t>
  </si>
  <si>
    <t>Inflation raised the cost of motor repairs and home rebuilding. We strengthened our claims provisions, which reduced Tier 1 own funds.</t>
  </si>
  <si>
    <t>B3</t>
  </si>
  <si>
    <t>Premium growth</t>
  </si>
  <si>
    <t>Higher average premiums increased premium volumes; this increased premium and reserve risk in non-life underwriting risk and raised the MCR.</t>
  </si>
  <si>
    <t>B4</t>
  </si>
  <si>
    <t>Deferred taxes</t>
  </si>
  <si>
    <t>Unrealised losses on bonds increased the net deferred tax assets, which are classified as Tier 3.</t>
  </si>
  <si>
    <t>Underwriting result</t>
  </si>
  <si>
    <t>A year without major storms produced a strong underwriting result, which increased Tier 1 own funds.</t>
  </si>
  <si>
    <t>Bond values</t>
  </si>
  <si>
    <t>Euro interest rates fell towards the end of 2023; the higher market value of our bonds increased own funds and the capital charge for market risk.</t>
  </si>
  <si>
    <t>Premium growth in motor and home insurance increased non-life underwriting risk and the MCR.</t>
  </si>
  <si>
    <t>Net deferred tax assets fell as unrealised losses on bonds decreased.</t>
  </si>
  <si>
    <t>Subordinated notes</t>
  </si>
  <si>
    <t>In March 2024 we issued subordinated notes, which are classified as Tier 2 own funds. They support our planned growth.</t>
  </si>
  <si>
    <t>Floods</t>
  </si>
  <si>
    <t>Severe floods in September 2024 caused many home insurance claims; the lower underwriting result reduced Tier 1 own funds.</t>
  </si>
  <si>
    <t>Investments</t>
  </si>
  <si>
    <t>We invested the proceeds of the subordinated notes in bonds; the larger bond portfolio increased market risk.</t>
  </si>
  <si>
    <t>Reinsurance recoveries</t>
  </si>
  <si>
    <t>Amounts due from reinsurers after the floods increased counterparty default risk.</t>
  </si>
  <si>
    <t>B5</t>
  </si>
  <si>
    <t>Growth</t>
  </si>
  <si>
    <t>Premium growth increased non-life underwriting risk and the MCR.</t>
  </si>
  <si>
    <t>Lithuania</t>
  </si>
  <si>
    <t>In 2025 we began selling home insurance in Lithuania under the freedom to provide services; the new business increased non-life underwriting risk and the MCR.</t>
  </si>
  <si>
    <t>Result</t>
  </si>
  <si>
    <t>A good underwriting year and higher investment income increased Tier 1 own funds.</t>
  </si>
  <si>
    <t>A larger bond portfolio increased market risk.</t>
  </si>
  <si>
    <t>Reinsurance</t>
  </si>
  <si>
    <t>Larger reinsurance recoverables increased counterparty default risk.</t>
  </si>
  <si>
    <t>DR1</t>
  </si>
  <si>
    <t>Motor claims inflation</t>
  </si>
  <si>
    <t>Motor repair costs rose during the year because spare parts and labour became more expensive; this raised the average cost of a motor claim.</t>
  </si>
  <si>
    <t>DR2</t>
  </si>
  <si>
    <t>New motor reinsurance</t>
  </si>
  <si>
    <t>From the start of the year, a new quota-share reinsurance contract passes a fixed share of the premiums and claims of every motor policy to reinsurers; this reduces the insurance risk that Brisendale Mutual keeps and increases the amounts owed by reinsurers.</t>
  </si>
  <si>
    <t>DR3</t>
  </si>
  <si>
    <t>Euro interest rates fell in the second half of the year, which increased the market value of the bonds that Brisendale Mutual holds.</t>
  </si>
  <si>
    <t>DR4</t>
  </si>
  <si>
    <t>October windstorm</t>
  </si>
  <si>
    <t>A windstorm in October caused a large number of home insurance claims, mainly for roof and fence damage.</t>
  </si>
  <si>
    <t>DR5</t>
  </si>
  <si>
    <t>Investment policy</t>
  </si>
  <si>
    <t>The investment policy was updated during the year to exclude companies that earn most of their revenue from thermal coal; the effect on investment returns has not been measured.</t>
  </si>
  <si>
    <t>DR6</t>
  </si>
  <si>
    <t>Expenses</t>
  </si>
  <si>
    <t>Operating expenses were higher than a year earlier; the finance team has not yet analysed the reasons.</t>
  </si>
  <si>
    <t>DR7</t>
  </si>
  <si>
    <t>Net deferred tax assets fell because the higher market value of our bonds reduced unrealised losses.</t>
  </si>
  <si>
    <t>DR8</t>
  </si>
  <si>
    <t>MCR</t>
  </si>
  <si>
    <t>The MCR fell because the motor quota share reduced the net premiums and the net technical provisions on which the MCR is based.</t>
  </si>
  <si>
    <t>slot</t>
  </si>
  <si>
    <t>title</t>
  </si>
  <si>
    <t>based_on</t>
  </si>
  <si>
    <t>e1_policy</t>
  </si>
  <si>
    <t>Objectives, policies and processes for managing own funds</t>
  </si>
  <si>
    <t>Our objective in managing own funds is to hold enough capital of good quality to meet our obligations to our policyholder members at all times and to cover the Solvency Capital Requirement (SCR) with a margin. The Board approves the capital management policy and reviews it every year as part of our own risk and solvency assessment. Our business planning covers a time horizon of three years, and our risk appetite is an SCR coverage ratio of at least 160%. As a mutual, we pay no dividends; profits are retained in own funds. There were no material changes to the policy or the processes in 2022.</t>
  </si>
  <si>
    <t>e1_structure</t>
  </si>
  <si>
    <t>Structure, amount and quality of own funds by tier</t>
  </si>
  <si>
    <t>B1; B2; B4</t>
  </si>
  <si>
    <t>At 31 December 2022, our basic own funds amounted to EUR 632.2 million (2021: EUR 649.0 million). Tier 1 own funds, which consist of our initial fund and the reconciliation reserve, decreased slightly by 3.7% to EUR 612.8 million, because the market value of our bonds fell when interest rates rose sharply and because we strengthened claims provisions for inflation. Tier 3 own funds, which consist of net deferred tax assets, increased significantly by 50.4% to EUR 19.4 million, because unrealised losses on bonds increased. We have no Tier 2 own funds and hold no ancillary own funds. Table E.1 shows the own funds by tier.</t>
  </si>
  <si>
    <t>e1_eligibility</t>
  </si>
  <si>
    <t>Eligible own funds to cover the SCR and the MCR</t>
  </si>
  <si>
    <t>All our basic own funds are eligible to cover the SCR: Tier 1 exceeds half of the SCR, and Tier 3 stays below 15% of the SCR. Eligible own funds to cover the SCR amounted to EUR 632.2 million at 31 December 2022 (2021: EUR 649.0 million). To cover the Minimum Capital Requirement (MCR), Tier 3 own funds are not eligible; eligible own funds to cover the MCR amounted to EUR 612.8 million (2021: EUR 636.1 million). No items were deducted from own funds, and there are no significant restrictions on their availability or transferability.</t>
  </si>
  <si>
    <t>e1_reconciliation</t>
  </si>
  <si>
    <t>Equity in the financial statements and excess of assets over liabilities</t>
  </si>
  <si>
    <t>Equity in our financial statements amounted to EUR 652.6 million at 31 December 2022, and the excess of assets over liabilities valued for solvency purposes to EUR 632.2 million (2021: EUR 665.7 million and EUR 649.0 million). The difference arises from three valuation differences: intangible assets of EUR 38.5 million are not recognised for solvency purposes; the valuation of technical provisions at best estimate plus risk margin is EUR 21.7 million lower than in the financial statements, which adds to the excess of assets over liabilities; and the deferred taxes on these differences reduce it by EUR 3.6 million.</t>
  </si>
  <si>
    <t>e2_amounts</t>
  </si>
  <si>
    <t>Solvency Capital Requirement and Minimum Capital Requirement</t>
  </si>
  <si>
    <t>At 31 December 2022, our SCR amounted to EUR 332.4 million and our MCR to EUR 97.3 million (2021: EUR 326.4 million and EUR 95.2 million). With eligible own funds of EUR 632.2 million, the SCR coverage ratio was 190% (2021: 199%); the MCR coverage ratio was 630% (2021: 668%). The final amount of the SCR is not subject to supervisory assessment. Table E.2 shows the SCR by risk module.</t>
  </si>
  <si>
    <t>e2_methods</t>
  </si>
  <si>
    <t>Calculation methods and inputs to the MCR</t>
  </si>
  <si>
    <t>We calculate the SCR with the standard formula. We do not use simplified calculations or undertaking-specific parameters, and no capital add-on has been imposed. The MCR is calculated with the linear formula from the net best estimate of technical provisions and the net written premiums of the last twelve months for each line of business; the result is bounded by a floor of 25% and a cap of 45% of the SCR.</t>
  </si>
  <si>
    <t>e2_changes</t>
  </si>
  <si>
    <t>Material changes over the reporting period</t>
  </si>
  <si>
    <t>B1; B3</t>
  </si>
  <si>
    <t>The SCR increased slightly by 1.8% to EUR 332.4 million. Non-life underwriting risk increased by 5.3% to EUR 231.5 million, because higher average premiums increased premium and reserve risk; market risk decreased slightly by 2.6% to EUR 168.4 million, because the market value of our bonds fell. The MCR increased slightly by 2.2% to EUR 97.3 million with the higher premiums. The SCR coverage ratio decreased slightly by 9 percentage points to 190%, because eligible own funds fell while the SCR rose.</t>
  </si>
  <si>
    <t>Our objective in managing own funds is to hold enough capital of good quality to meet our obligations to our policyholder members at all times and to cover the Solvency Capital Requirement (SCR) with a margin. The Board approves the capital management policy and reviews it every year as part of our own risk and solvency assessment. Our business planning covers a time horizon of three years, and our risk appetite is an SCR coverage ratio of at least 160%. As a mutual, we pay no dividends; profits are retained in own funds. There were no material changes to the policy or the processes in 2023.</t>
  </si>
  <si>
    <t>At 31 December 2023, our basic own funds amounted to EUR 692.9 million (2022: EUR 632.2 million). Tier 1 own funds, which consist of our initial fund and the reconciliation reserve, increased by 10.1% to EUR 674.8 million, mainly because a year without major storms produced a strong underwriting result and because the market value of our bonds rose. Tier 3 own funds, which consist of net deferred tax assets, decreased by 6.7% to EUR 18.1 million, because unrealised losses on bonds decreased. We have no Tier 2 own funds and hold no ancillary own funds. Table E.1 shows the own funds by tier.</t>
  </si>
  <si>
    <t>All our basic own funds are eligible to cover the SCR: Tier 1 exceeds half of the SCR, and Tier 3 stays below 15% of the SCR. Eligible own funds to cover the SCR amounted to EUR 692.9 million at 31 December 2023 (2022: EUR 632.2 million). To cover the Minimum Capital Requirement (MCR), Tier 3 own funds are not eligible; eligible own funds to cover the MCR amounted to EUR 674.8 million (2022: EUR 612.8 million). No items were deducted from own funds, and there are no significant restrictions on their availability or transferability.</t>
  </si>
  <si>
    <t>Equity in our financial statements amounted to EUR 711.0 million at 31 December 2023, and the excess of assets over liabilities valued for solvency purposes to EUR 692.9 million (2022: EUR 652.6 million and EUR 632.2 million). The difference arises from three valuation differences: intangible assets of EUR 41.2 million are not recognised for solvency purposes; the valuation of technical provisions at best estimate plus risk margin is EUR 27.9 million lower than in the financial statements, which adds to the excess of assets over liabilities; and the deferred taxes on these differences reduce it by EUR 4.8 million.</t>
  </si>
  <si>
    <t>At 31 December 2023, our SCR amounted to EUR 350.3 million and our MCR to EUR 104.6 million (2022: EUR 332.4 million and EUR 97.3 million). With eligible own funds of EUR 692.9 million, the SCR coverage ratio was 198% (2022: 190%); the MCR coverage ratio was 645% (2022: 630%). The final amount of the SCR is not subject to supervisory assessment. Table E.2 shows the SCR by risk module.</t>
  </si>
  <si>
    <t>B2; B3</t>
  </si>
  <si>
    <t>The SCR increased by 5.4% to EUR 350.3 million. Market risk increased by 7.6% to EUR 181.2 million, because the market value of our bonds rose; non-life underwriting risk increased slightly by 4.1% to EUR 240.9 million, because of premium growth in motor and home insurance. The MCR increased by 7.5% to EUR 104.6 million with the premium growth. The SCR coverage ratio increased slightly by 8 percentage points to 198%, because eligible own funds rose faster than the SCR.</t>
  </si>
  <si>
    <t>Our objective in managing own funds is to hold enough capital of good quality to meet our obligations to our policyholder members at all times and to cover the Solvency Capital Requirement (SCR) with a margin. The Board approves the capital management policy and reviews it every year as part of our own risk and solvency assessment. Our business planning covers a time horizon of three years, and our risk appetite is an SCR coverage ratio of at least 160%. As a mutual, we pay no dividends; profits are retained in own funds. In 2024, the Board approved the issue of subordinated notes to support our planned growth; the policy and the processes did not change otherwise.</t>
  </si>
  <si>
    <t>B1; B2</t>
  </si>
  <si>
    <t>At 31 December 2024, our basic own funds amounted to EUR 715.7 million (2023: EUR 692.9 million). Tier 1 own funds, which consist of our initial fund and the reconciliation reserve, decreased by 5.7% to EUR 636.3 million, mainly because the floods of September 2024 caused many home insurance claims and reduced the underwriting result. Tier 2 own funds of EUR 61.9 million consist of the subordinated notes that we issued in March 2024. Tier 3 own funds, which consist of net deferred tax assets, decreased slightly by 3.3% to EUR 17.5 million. We hold no ancillary own funds. Table E.1 shows the own funds by tier.</t>
  </si>
  <si>
    <t>All our basic own funds are eligible to cover the SCR: Tier 1 exceeds half of the SCR, and Tier 3 stays below 15% of the SCR. Eligible own funds to cover the SCR amounted to EUR 715.7 million at 31 December 2024 (2023: EUR 692.9 million). To cover the Minimum Capital Requirement (MCR), Tier 3 own funds are not eligible and Tier 2 own funds are eligible up to 20% of the MCR; eligible own funds to cover the MCR amounted to EUR 659.1 million (2023: EUR 674.8 million). No items were deducted from own funds, and there are no significant restrictions on their availability or transferability.</t>
  </si>
  <si>
    <t>Equity in our financial statements amounted to EUR 676.5 million at 31 December 2024, and the excess of assets over liabilities valued for solvency purposes to EUR 653.8 million (2023: EUR 711.0 million and EUR 692.9 million). The difference arises from three valuation differences: intangible assets of EUR 44.0 million are not recognised for solvency purposes; the valuation of technical provisions at best estimate plus risk margin is EUR 25.6 million lower than in the financial statements, which adds to the excess of assets over liabilities; and the deferred taxes on these differences reduce it by EUR 4.3 million.</t>
  </si>
  <si>
    <t>At 31 December 2024, our SCR amounted to EUR 365.9 million and our MCR to EUR 113.8 million (2023: EUR 350.3 million and EUR 104.6 million). With eligible own funds of EUR 715.7 million, the SCR coverage ratio was 196% (2023: 198%); the MCR coverage ratio was 579% (2023: 645%). The final amount of the SCR is not subject to supervisory assessment. Table E.2 shows the SCR by risk module.</t>
  </si>
  <si>
    <t>B1; B2; B3; B4; B5</t>
  </si>
  <si>
    <t>The SCR increased slightly by 4.5% to EUR 365.9 million. Market risk increased by 8.0% to EUR 195.7 million, because we invested the proceeds of the subordinated notes in bonds; counterparty default risk increased by 10.2% to EUR 30.2 million, because of the amounts due from reinsurers after the floods; non-life underwriting risk increased slightly by 4.7% to EUR 252.3 million with premium growth. The MCR increased by 8.8% to EUR 113.8 million. The SCR coverage ratio decreased slightly by 2 percentage points to 196%: the subordinated notes added to eligible own funds, but the flood claims reduced Tier 1 own funds.</t>
  </si>
  <si>
    <t>Our objective in managing own funds is to hold enough capital of good quality to meet our obligations to our policyholder members at all times and to cover the Solvency Capital Requirement (SCR) with a margin. The Board approves the capital management policy and reviews it every year as part of our own risk and solvency assessment. Our business planning covers a time horizon of three years, and our risk appetite is an SCR coverage ratio of at least 160%. As a mutual, we pay no dividends; profits are retained in own funds. There were no material changes to the policy or the processes in 2025.</t>
  </si>
  <si>
    <t>At 31 December 2025, our basic own funds amounted to EUR 778.9 million (2024: EUR 715.7 million). Tier 1 own funds, which consist of our initial fund and the reconciliation reserve, increased by 10.0% to EUR 700.2 million, mainly because of a good underwriting year and higher investment income. Tier 2 own funds, which consist of the subordinated notes issued in March 2024, remained broadly stable at EUR 61.9 million. Tier 3 own funds, which consist of net deferred tax assets, decreased slightly by 4.0% to EUR 16.8 million. We hold no ancillary own funds. Table E.1 shows the own funds by tier.</t>
  </si>
  <si>
    <t>All our basic own funds are eligible to cover the SCR: Tier 1 exceeds half of the SCR, and Tier 3 stays below 15% of the SCR. Eligible own funds to cover the SCR amounted to EUR 778.9 million at 31 December 2025 (2024: EUR 715.7 million). To cover the Minimum Capital Requirement (MCR), Tier 3 own funds are not eligible and Tier 2 own funds are eligible up to 20% of the MCR; eligible own funds to cover the MCR amounted to EUR 723.9 million (2024: EUR 659.1 million). No items were deducted from own funds, and there are no significant restrictions on their availability or transferability.</t>
  </si>
  <si>
    <t>Equity in our financial statements amounted to EUR 739.1 million at 31 December 2025, and the excess of assets over liabilities valued for solvency purposes to EUR 717.0 million (2024: EUR 676.5 million and EUR 653.8 million). The difference arises from three valuation differences: intangible assets of EUR 46.3 million are not recognised for solvency purposes; the valuation of technical provisions at best estimate plus risk margin is EUR 29.4 million lower than in the financial statements, which adds to the excess of assets over liabilities; and the deferred taxes on these differences reduce it by EUR 5.2 million.</t>
  </si>
  <si>
    <t>At 31 December 2025, our SCR amounted to EUR 382.7 million and our MCR to EUR 118.6 million (2024: EUR 365.9 million and EUR 113.8 million). With eligible own funds of EUR 778.9 million, the SCR coverage ratio was 204% (2024: 196%); the MCR coverage ratio was 610% (2024: 579%). The final amount of the SCR is not subject to supervisory assessment. Table E.2 shows the SCR by risk module.</t>
  </si>
  <si>
    <t>B1; B3; B4</t>
  </si>
  <si>
    <t>The SCR increased slightly by 4.6% to EUR 382.7 million. Non-life underwriting risk increased slightly by 3.4% to EUR 260.8 million, mainly because of our new home insurance business in Lithuania; market risk increased by 5.3% to EUR 206.0 million with a larger bond portfolio, and counterparty default risk increased by 9.6% to EUR 33.1 million with larger reinsurance recoverables. The MCR increased slightly by 4.2% to EUR 118.6 million with the new business. The SCR coverage ratio increased slightly by 8 percentage points to 204%, because eligible own funds rose faster than the SCR.</t>
  </si>
  <si>
    <t>applies_to</t>
  </si>
  <si>
    <t>from</t>
  </si>
  <si>
    <t>to</t>
  </si>
  <si>
    <t>phrase_up</t>
  </si>
  <si>
    <t>phrase_down</t>
  </si>
  <si>
    <t>note</t>
  </si>
  <si>
    <t>amount</t>
  </si>
  <si>
    <t>remained broadly stable</t>
  </si>
  <si>
    <t>relative change in per cent, absolute value</t>
  </si>
  <si>
    <t>increased slightly</t>
  </si>
  <si>
    <t>decreased slightly</t>
  </si>
  <si>
    <t>increased</t>
  </si>
  <si>
    <t>decreased</t>
  </si>
  <si>
    <t>increased significantly</t>
  </si>
  <si>
    <t>decreased significantly</t>
  </si>
  <si>
    <t>ratio</t>
  </si>
  <si>
    <t>change in percentage points, absolute value</t>
  </si>
  <si>
    <t>preferred</t>
  </si>
  <si>
    <t>avoid</t>
  </si>
  <si>
    <t>solvency ratio; Solvency II ratio; SCR ratio</t>
  </si>
  <si>
    <t>the ratio of eligible own funds to the SCR</t>
  </si>
  <si>
    <t>eligible own funds</t>
  </si>
  <si>
    <t>available capital; capital resources; free capital</t>
  </si>
  <si>
    <t>own funds after the tier limits</t>
  </si>
  <si>
    <t>DTA</t>
  </si>
  <si>
    <t>Tier 3 own funds; no abbreviation</t>
  </si>
  <si>
    <t>policyholder members</t>
  </si>
  <si>
    <t>customers</t>
  </si>
  <si>
    <t>a mutual is owned by its members</t>
  </si>
</sst>
</file>

<file path=xl/styles.xml><?xml version="1.0" encoding="utf-8"?>
<styleSheet xmlns="http://schemas.openxmlformats.org/spreadsheetml/2006/main">
  <numFmts count="2">
    <numFmt numFmtId="164" formatCode="#,##0.0"/>
    <numFmt numFmtId="165" formatCode="0.0"/>
  </numFmts>
  <fonts count="6">
    <font>
      <sz val="11"/>
      <color theme="1"/>
      <name val="Calibri"/>
      <family val="2"/>
      <scheme val="minor"/>
    </font>
    <font>
      <b/>
      <sz val="14"/>
      <color rgb="FF0F2B72"/>
      <name val="Calibri"/>
      <family val="2"/>
      <scheme val="minor"/>
    </font>
    <font>
      <b/>
      <sz val="11"/>
      <color theme="1"/>
      <name val="Calibri"/>
      <family val="2"/>
      <scheme val="minor"/>
    </font>
    <font>
      <b/>
      <sz val="11"/>
      <color rgb="FFFFFFFF"/>
      <name val="Calibri"/>
      <family val="2"/>
      <scheme val="minor"/>
    </font>
    <font>
      <b/>
      <sz val="11"/>
      <color rgb="FF009CDB"/>
      <name val="Calibri"/>
      <family val="2"/>
      <scheme val="minor"/>
    </font>
    <font>
      <i/>
      <sz val="11"/>
      <color theme="1"/>
      <name val="Calibri"/>
      <family val="2"/>
      <scheme val="minor"/>
    </font>
  </fonts>
  <fills count="5">
    <fill>
      <patternFill patternType="none"/>
    </fill>
    <fill>
      <patternFill patternType="gray125"/>
    </fill>
    <fill>
      <patternFill patternType="solid">
        <fgColor rgb="FF0F2B72"/>
        <bgColor indexed="64"/>
      </patternFill>
    </fill>
    <fill>
      <patternFill patternType="solid">
        <fgColor rgb="FFFFF8DC"/>
        <bgColor indexed="64"/>
      </patternFill>
    </fill>
    <fill>
      <patternFill patternType="solid">
        <fgColor rgb="FFEEF2F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5DEEA"/>
      </left>
      <right style="thin">
        <color rgb="FFD5DEEA"/>
      </right>
      <top style="thin">
        <color rgb="FFD5DEEA"/>
      </top>
      <bottom style="thin">
        <color rgb="FFD5DEEA"/>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0" xfId="0" applyFont="1"/>
    <xf numFmtId="0" fontId="2" fillId="0" borderId="0" xfId="0" applyFont="1" applyAlignment="1">
      <alignment vertical="top"/>
    </xf>
    <xf numFmtId="0" fontId="3" fillId="2" borderId="1" xfId="0" applyFont="1" applyFill="1" applyBorder="1" applyAlignment="1">
      <alignment vertical="top" wrapText="1"/>
    </xf>
    <xf numFmtId="164" fontId="0" fillId="3" borderId="2" xfId="0" applyNumberFormat="1" applyFill="1" applyBorder="1"/>
    <xf numFmtId="0" fontId="4" fillId="0" borderId="0" xfId="0" applyFont="1"/>
    <xf numFmtId="164" fontId="5" fillId="4" borderId="2" xfId="0" applyNumberFormat="1" applyFont="1" applyFill="1" applyBorder="1"/>
    <xf numFmtId="165" fontId="5" fillId="4" borderId="2" xfId="0" applyNumberFormat="1"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width="110.7109375" style="1" customWidth="1"/>
  </cols>
  <sheetData>
    <row r="1" spans="1:1">
      <c r="A1" s="2" t="s">
        <v>0</v>
      </c>
    </row>
    <row r="2" spans="1:1">
      <c r="A2" s="1" t="s">
        <v>1</v>
      </c>
    </row>
    <row r="3" spans="1:1">
      <c r="A3" s="1"/>
    </row>
    <row r="4" spans="1:1">
      <c r="A4" s="1" t="s">
        <v>2</v>
      </c>
    </row>
    <row r="5" spans="1:1">
      <c r="A5" s="1" t="s">
        <v>3</v>
      </c>
    </row>
    <row r="6" spans="1:1">
      <c r="A6" s="1" t="s">
        <v>4</v>
      </c>
    </row>
    <row r="7" spans="1:1">
      <c r="A7" s="1" t="s">
        <v>5</v>
      </c>
    </row>
    <row r="8" spans="1:1">
      <c r="A8" s="1" t="s">
        <v>6</v>
      </c>
    </row>
    <row r="9" spans="1:1">
      <c r="A9" s="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30.7109375" style="3" customWidth="1"/>
    <col min="2" max="2" width="110.7109375" style="1" customWidth="1"/>
  </cols>
  <sheetData>
    <row r="1" spans="1:2">
      <c r="A1" s="4" t="s">
        <v>8</v>
      </c>
      <c r="B1" s="4" t="s">
        <v>9</v>
      </c>
    </row>
    <row r="2" spans="1:2">
      <c r="A2" s="3" t="s">
        <v>10</v>
      </c>
      <c r="B2" s="1" t="s">
        <v>11</v>
      </c>
    </row>
    <row r="3" spans="1:2">
      <c r="A3" s="3" t="s">
        <v>12</v>
      </c>
      <c r="B3" s="1" t="s">
        <v>13</v>
      </c>
    </row>
    <row r="4" spans="1:2">
      <c r="A4" s="3" t="s">
        <v>14</v>
      </c>
      <c r="B4" s="1" t="s">
        <v>15</v>
      </c>
    </row>
    <row r="5" spans="1:2">
      <c r="A5" s="3" t="s">
        <v>16</v>
      </c>
      <c r="B5" s="1" t="s">
        <v>17</v>
      </c>
    </row>
    <row r="6" spans="1:2">
      <c r="A6" s="3" t="s">
        <v>18</v>
      </c>
      <c r="B6" s="1" t="s">
        <v>19</v>
      </c>
    </row>
    <row r="7" spans="1:2">
      <c r="A7" s="3" t="s">
        <v>20</v>
      </c>
      <c r="B7" s="1" t="s">
        <v>21</v>
      </c>
    </row>
    <row r="8" spans="1:2">
      <c r="A8" s="3" t="s">
        <v>22</v>
      </c>
      <c r="B8" s="1" t="s">
        <v>1</v>
      </c>
    </row>
    <row r="9" spans="1:2">
      <c r="A9" s="3" t="s">
        <v>23</v>
      </c>
      <c r="B9" s="1" t="s">
        <v>24</v>
      </c>
    </row>
    <row r="10" spans="1:2">
      <c r="A10" s="3" t="s">
        <v>25</v>
      </c>
      <c r="B10" s="1"/>
    </row>
    <row r="11" spans="1:2">
      <c r="A11" s="3" t="s">
        <v>26</v>
      </c>
      <c r="B11" s="1" t="s">
        <v>27</v>
      </c>
    </row>
    <row r="12" spans="1:2">
      <c r="A12" s="3" t="s">
        <v>28</v>
      </c>
      <c r="B12" s="1" t="s">
        <v>29</v>
      </c>
    </row>
    <row r="13" spans="1:2">
      <c r="A13" s="3" t="s">
        <v>30</v>
      </c>
      <c r="B13" s="1" t="s">
        <v>31</v>
      </c>
    </row>
    <row r="14" spans="1:2">
      <c r="A14" s="3" t="s">
        <v>32</v>
      </c>
      <c r="B14" s="1" t="s">
        <v>33</v>
      </c>
    </row>
    <row r="15" spans="1:2">
      <c r="A15" s="3" t="s">
        <v>34</v>
      </c>
      <c r="B15" s="1" t="s">
        <v>35</v>
      </c>
    </row>
    <row r="16" spans="1:2">
      <c r="A16" s="3" t="s">
        <v>36</v>
      </c>
      <c r="B16" s="1" t="s">
        <v>37</v>
      </c>
    </row>
    <row r="17" spans="1:2">
      <c r="A17" s="3" t="s">
        <v>38</v>
      </c>
      <c r="B17" s="1" t="s">
        <v>39</v>
      </c>
    </row>
    <row r="18" spans="1:2">
      <c r="A18" s="3" t="s">
        <v>40</v>
      </c>
      <c r="B18" s="1" t="s">
        <v>41</v>
      </c>
    </row>
    <row r="19" spans="1:2">
      <c r="A19" s="3" t="s">
        <v>42</v>
      </c>
      <c r="B19" s="1" t="s">
        <v>37</v>
      </c>
    </row>
    <row r="20" spans="1:2">
      <c r="A20" s="3" t="s">
        <v>43</v>
      </c>
      <c r="B20" s="1" t="s">
        <v>37</v>
      </c>
    </row>
    <row r="21" spans="1:2">
      <c r="A21" s="3" t="s">
        <v>44</v>
      </c>
      <c r="B21" s="1" t="s">
        <v>37</v>
      </c>
    </row>
    <row r="22" spans="1:2">
      <c r="A22" s="3" t="s">
        <v>45</v>
      </c>
      <c r="B22" s="1" t="s">
        <v>46</v>
      </c>
    </row>
    <row r="23" spans="1:2">
      <c r="A23" s="3" t="s">
        <v>47</v>
      </c>
      <c r="B23" s="1"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58.7109375" customWidth="1"/>
    <col min="3" max="5" width="9.7109375" customWidth="1"/>
    <col min="6" max="12" width="11.7109375" customWidth="1"/>
  </cols>
  <sheetData>
    <row r="1" spans="1:11">
      <c r="A1" s="4" t="s">
        <v>49</v>
      </c>
      <c r="B1" s="4" t="s">
        <v>50</v>
      </c>
      <c r="C1" s="4" t="s">
        <v>51</v>
      </c>
      <c r="D1" s="4" t="s">
        <v>52</v>
      </c>
      <c r="E1" s="4" t="s">
        <v>53</v>
      </c>
      <c r="F1" s="4" t="s">
        <v>54</v>
      </c>
      <c r="G1" s="4" t="s">
        <v>55</v>
      </c>
      <c r="H1" s="4" t="s">
        <v>56</v>
      </c>
      <c r="I1" s="4" t="s">
        <v>57</v>
      </c>
      <c r="J1" s="4" t="s">
        <v>58</v>
      </c>
      <c r="K1" s="4" t="s">
        <v>59</v>
      </c>
    </row>
    <row r="2" spans="1:11">
      <c r="A2" t="s">
        <v>60</v>
      </c>
      <c r="B2" t="s">
        <v>61</v>
      </c>
      <c r="C2" t="s">
        <v>62</v>
      </c>
      <c r="D2" t="s">
        <v>63</v>
      </c>
      <c r="E2" t="s">
        <v>64</v>
      </c>
      <c r="F2" s="5">
        <v>172.9</v>
      </c>
      <c r="G2" s="5">
        <v>168.4</v>
      </c>
      <c r="H2" s="5">
        <v>181.2</v>
      </c>
      <c r="I2" s="5">
        <v>195.7</v>
      </c>
      <c r="J2" s="5">
        <v>206</v>
      </c>
      <c r="K2" s="5">
        <v>211.3</v>
      </c>
    </row>
    <row r="3" spans="1:11">
      <c r="A3" t="s">
        <v>65</v>
      </c>
      <c r="B3" t="s">
        <v>66</v>
      </c>
      <c r="C3" t="s">
        <v>62</v>
      </c>
      <c r="D3" t="s">
        <v>63</v>
      </c>
      <c r="E3" t="s">
        <v>64</v>
      </c>
      <c r="F3" s="5">
        <v>24.1</v>
      </c>
      <c r="G3" s="5">
        <v>25.7</v>
      </c>
      <c r="H3" s="5">
        <v>27.4</v>
      </c>
      <c r="I3" s="5">
        <v>30.2</v>
      </c>
      <c r="J3" s="5">
        <v>33.1</v>
      </c>
      <c r="K3" s="5">
        <v>46.2</v>
      </c>
    </row>
    <row r="4" spans="1:11">
      <c r="A4" t="s">
        <v>67</v>
      </c>
      <c r="B4" t="s">
        <v>68</v>
      </c>
      <c r="C4" t="s">
        <v>62</v>
      </c>
      <c r="D4" t="s">
        <v>63</v>
      </c>
      <c r="E4" t="s">
        <v>64</v>
      </c>
      <c r="F4" s="5">
        <v>0</v>
      </c>
      <c r="G4" s="5">
        <v>0</v>
      </c>
      <c r="H4" s="5">
        <v>0</v>
      </c>
      <c r="I4" s="5">
        <v>0</v>
      </c>
      <c r="J4" s="5">
        <v>0</v>
      </c>
      <c r="K4" s="5">
        <v>0</v>
      </c>
    </row>
    <row r="5" spans="1:11">
      <c r="A5" t="s">
        <v>69</v>
      </c>
      <c r="B5" t="s">
        <v>70</v>
      </c>
      <c r="C5" t="s">
        <v>62</v>
      </c>
      <c r="D5" t="s">
        <v>63</v>
      </c>
      <c r="E5" t="s">
        <v>64</v>
      </c>
      <c r="F5" s="5">
        <v>0</v>
      </c>
      <c r="G5" s="5">
        <v>0</v>
      </c>
      <c r="H5" s="5">
        <v>0</v>
      </c>
      <c r="I5" s="5">
        <v>0</v>
      </c>
      <c r="J5" s="5">
        <v>0</v>
      </c>
      <c r="K5" s="5">
        <v>0</v>
      </c>
    </row>
    <row r="6" spans="1:11">
      <c r="A6" t="s">
        <v>71</v>
      </c>
      <c r="B6" t="s">
        <v>72</v>
      </c>
      <c r="C6" t="s">
        <v>62</v>
      </c>
      <c r="D6" t="s">
        <v>63</v>
      </c>
      <c r="E6" t="s">
        <v>64</v>
      </c>
      <c r="F6" s="5">
        <v>219.8</v>
      </c>
      <c r="G6" s="5">
        <v>231.5</v>
      </c>
      <c r="H6" s="5">
        <v>240.9</v>
      </c>
      <c r="I6" s="5">
        <v>252.3</v>
      </c>
      <c r="J6" s="5">
        <v>260.8</v>
      </c>
      <c r="K6" s="5">
        <v>216.9</v>
      </c>
    </row>
    <row r="7" spans="1:11">
      <c r="A7" t="s">
        <v>73</v>
      </c>
      <c r="B7" t="s">
        <v>74</v>
      </c>
      <c r="C7" t="s">
        <v>62</v>
      </c>
      <c r="D7" t="s">
        <v>63</v>
      </c>
      <c r="E7" t="s">
        <v>64</v>
      </c>
      <c r="F7" s="5">
        <v>101.7</v>
      </c>
      <c r="G7" s="5">
        <v>104.6</v>
      </c>
      <c r="H7" s="5">
        <v>110.3</v>
      </c>
      <c r="I7" s="5">
        <v>123.5</v>
      </c>
      <c r="J7" s="5">
        <v>128.8</v>
      </c>
      <c r="K7" s="5">
        <v>116.9</v>
      </c>
    </row>
    <row r="8" spans="1:11">
      <c r="A8" s="6" t="s">
        <v>75</v>
      </c>
      <c r="B8" s="6" t="s">
        <v>76</v>
      </c>
      <c r="C8" s="6" t="s">
        <v>62</v>
      </c>
      <c r="D8" s="6" t="s">
        <v>77</v>
      </c>
      <c r="E8" s="6" t="s">
        <v>64</v>
      </c>
      <c r="F8" s="7">
        <f>ROUND(F2+F3+F4+F5+F6-F7,1)</f>
        <v>315.1</v>
      </c>
      <c r="G8" s="7">
        <f>ROUND(G2+G3+G4+G5+G6-G7,1)</f>
        <v>321.0</v>
      </c>
      <c r="H8" s="7">
        <f>ROUND(H2+H3+H4+H5+H6-H7,1)</f>
        <v>339.2</v>
      </c>
      <c r="I8" s="7">
        <f>ROUND(I2+I3+I4+I5+I6-I7,1)</f>
        <v>354.7</v>
      </c>
      <c r="J8" s="7">
        <f>ROUND(J2+J3+J4+J5+J6-J7,1)</f>
        <v>371.1</v>
      </c>
      <c r="K8" s="7">
        <f>ROUND(K2+K3+K4+K5+K6-K7,1)</f>
        <v>357.5</v>
      </c>
    </row>
    <row r="9" spans="1:11">
      <c r="A9" t="s">
        <v>78</v>
      </c>
      <c r="B9" t="s">
        <v>79</v>
      </c>
      <c r="C9" t="s">
        <v>62</v>
      </c>
      <c r="D9" t="s">
        <v>63</v>
      </c>
      <c r="E9" t="s">
        <v>64</v>
      </c>
      <c r="F9" s="5">
        <v>32.6</v>
      </c>
      <c r="G9" s="5">
        <v>33.9</v>
      </c>
      <c r="H9" s="5">
        <v>35.1</v>
      </c>
      <c r="I9" s="5">
        <v>36.6</v>
      </c>
      <c r="J9" s="5">
        <v>37.8</v>
      </c>
      <c r="K9" s="5">
        <v>38.4</v>
      </c>
    </row>
    <row r="10" spans="1:11">
      <c r="A10" t="s">
        <v>80</v>
      </c>
      <c r="B10" t="s">
        <v>81</v>
      </c>
      <c r="C10" t="s">
        <v>62</v>
      </c>
      <c r="D10" t="s">
        <v>63</v>
      </c>
      <c r="E10" t="s">
        <v>64</v>
      </c>
      <c r="F10" s="5">
        <v>0</v>
      </c>
      <c r="G10" s="5">
        <v>0</v>
      </c>
      <c r="H10" s="5">
        <v>0</v>
      </c>
      <c r="I10" s="5">
        <v>0</v>
      </c>
      <c r="J10" s="5">
        <v>0</v>
      </c>
      <c r="K10" s="5">
        <v>0</v>
      </c>
    </row>
    <row r="11" spans="1:11">
      <c r="A11" t="s">
        <v>82</v>
      </c>
      <c r="B11" t="s">
        <v>83</v>
      </c>
      <c r="C11" t="s">
        <v>62</v>
      </c>
      <c r="D11" t="s">
        <v>63</v>
      </c>
      <c r="E11" t="s">
        <v>64</v>
      </c>
      <c r="F11" s="5">
        <v>21.3</v>
      </c>
      <c r="G11" s="5">
        <v>22.5</v>
      </c>
      <c r="H11" s="5">
        <v>24</v>
      </c>
      <c r="I11" s="5">
        <v>25.4</v>
      </c>
      <c r="J11" s="5">
        <v>26.2</v>
      </c>
      <c r="K11" s="5">
        <v>22.8</v>
      </c>
    </row>
    <row r="12" spans="1:11">
      <c r="A12" s="6" t="s">
        <v>84</v>
      </c>
      <c r="B12" s="6" t="s">
        <v>85</v>
      </c>
      <c r="C12" s="6" t="s">
        <v>62</v>
      </c>
      <c r="D12" s="6" t="s">
        <v>77</v>
      </c>
      <c r="E12" s="6" t="s">
        <v>64</v>
      </c>
      <c r="F12" s="7">
        <f>ROUND(F8+F9-F10-F11,1)</f>
        <v>326.4</v>
      </c>
      <c r="G12" s="7">
        <f>ROUND(G8+G9-G10-G11,1)</f>
        <v>332.4</v>
      </c>
      <c r="H12" s="7">
        <f>ROUND(H8+H9-H10-H11,1)</f>
        <v>350.3</v>
      </c>
      <c r="I12" s="7">
        <f>ROUND(I8+I9-I10-I11,1)</f>
        <v>365.9</v>
      </c>
      <c r="J12" s="7">
        <f>ROUND(J8+J9-J10-J11,1)</f>
        <v>382.7</v>
      </c>
      <c r="K12" s="7">
        <f>ROUND(K8+K9-K10-K11,1)</f>
        <v>373.1</v>
      </c>
    </row>
    <row r="13" spans="1:11">
      <c r="A13" t="s">
        <v>86</v>
      </c>
      <c r="B13" t="s">
        <v>87</v>
      </c>
      <c r="C13" t="s">
        <v>62</v>
      </c>
      <c r="D13" t="s">
        <v>63</v>
      </c>
      <c r="E13" t="s">
        <v>64</v>
      </c>
      <c r="F13" s="5">
        <v>95.2</v>
      </c>
      <c r="G13" s="5">
        <v>97.3</v>
      </c>
      <c r="H13" s="5">
        <v>104.6</v>
      </c>
      <c r="I13" s="5">
        <v>113.8</v>
      </c>
      <c r="J13" s="5">
        <v>118.6</v>
      </c>
      <c r="K13" s="5">
        <v>108.7</v>
      </c>
    </row>
    <row r="14" spans="1:11">
      <c r="A14" t="s">
        <v>88</v>
      </c>
      <c r="B14" t="s">
        <v>89</v>
      </c>
      <c r="C14" t="s">
        <v>62</v>
      </c>
      <c r="D14" t="s">
        <v>63</v>
      </c>
      <c r="E14" t="s">
        <v>90</v>
      </c>
      <c r="F14" s="5">
        <v>636.1</v>
      </c>
      <c r="G14" s="5">
        <v>612.8</v>
      </c>
      <c r="H14" s="5">
        <v>674.8</v>
      </c>
      <c r="I14" s="5">
        <v>636.3</v>
      </c>
      <c r="J14" s="5">
        <v>700.2</v>
      </c>
      <c r="K14" s="5">
        <v>748.2</v>
      </c>
    </row>
    <row r="15" spans="1:11">
      <c r="A15" t="s">
        <v>91</v>
      </c>
      <c r="B15" t="s">
        <v>92</v>
      </c>
      <c r="C15" t="s">
        <v>62</v>
      </c>
      <c r="D15" t="s">
        <v>63</v>
      </c>
      <c r="E15" t="s">
        <v>90</v>
      </c>
      <c r="F15" s="5">
        <v>0</v>
      </c>
      <c r="G15" s="5">
        <v>0</v>
      </c>
      <c r="H15" s="5">
        <v>0</v>
      </c>
      <c r="I15" s="5">
        <v>61.9</v>
      </c>
      <c r="J15" s="5">
        <v>61.9</v>
      </c>
      <c r="K15" s="5">
        <v>61.9</v>
      </c>
    </row>
    <row r="16" spans="1:11">
      <c r="A16" t="s">
        <v>93</v>
      </c>
      <c r="B16" t="s">
        <v>94</v>
      </c>
      <c r="C16" t="s">
        <v>62</v>
      </c>
      <c r="D16" t="s">
        <v>63</v>
      </c>
      <c r="E16" t="s">
        <v>90</v>
      </c>
      <c r="F16" s="5">
        <v>12.9</v>
      </c>
      <c r="G16" s="5">
        <v>19.4</v>
      </c>
      <c r="H16" s="5">
        <v>18.1</v>
      </c>
      <c r="I16" s="5">
        <v>17.5</v>
      </c>
      <c r="J16" s="5">
        <v>16.8</v>
      </c>
      <c r="K16" s="5">
        <v>10.5</v>
      </c>
    </row>
    <row r="17" spans="1:11">
      <c r="A17" s="6" t="s">
        <v>95</v>
      </c>
      <c r="B17" s="6" t="s">
        <v>96</v>
      </c>
      <c r="C17" s="6" t="s">
        <v>62</v>
      </c>
      <c r="D17" s="6" t="s">
        <v>77</v>
      </c>
      <c r="E17" s="6" t="s">
        <v>90</v>
      </c>
      <c r="F17" s="7">
        <f>ROUND(F14+F15+F16,1)</f>
        <v>649.0</v>
      </c>
      <c r="G17" s="7">
        <f>ROUND(G14+G15+G16,1)</f>
        <v>632.2</v>
      </c>
      <c r="H17" s="7">
        <f>ROUND(H14+H15+H16,1)</f>
        <v>692.9</v>
      </c>
      <c r="I17" s="7">
        <f>ROUND(I14+I15+I16,1)</f>
        <v>715.7</v>
      </c>
      <c r="J17" s="7">
        <f>ROUND(J14+J15+J16,1)</f>
        <v>778.9</v>
      </c>
      <c r="K17" s="7">
        <f>ROUND(K14+K15+K16,1)</f>
        <v>820.6</v>
      </c>
    </row>
    <row r="18" spans="1:11">
      <c r="A18" s="6" t="s">
        <v>97</v>
      </c>
      <c r="B18" s="6" t="s">
        <v>98</v>
      </c>
      <c r="C18" s="6" t="s">
        <v>62</v>
      </c>
      <c r="D18" s="6" t="s">
        <v>77</v>
      </c>
      <c r="E18" s="6" t="s">
        <v>90</v>
      </c>
      <c r="F18" s="7">
        <f>F14</f>
        <v>636.1</v>
      </c>
      <c r="G18" s="7">
        <f>G14</f>
        <v>612.8</v>
      </c>
      <c r="H18" s="7">
        <f>H14</f>
        <v>674.8</v>
      </c>
      <c r="I18" s="7">
        <f>I14</f>
        <v>636.3</v>
      </c>
      <c r="J18" s="7">
        <f>J14</f>
        <v>700.2</v>
      </c>
      <c r="K18" s="7">
        <f>K14</f>
        <v>748.2</v>
      </c>
    </row>
    <row r="19" spans="1:11">
      <c r="A19" s="6" t="s">
        <v>99</v>
      </c>
      <c r="B19" s="6" t="s">
        <v>100</v>
      </c>
      <c r="C19" s="6" t="s">
        <v>62</v>
      </c>
      <c r="D19" s="6" t="s">
        <v>77</v>
      </c>
      <c r="E19" s="6" t="s">
        <v>90</v>
      </c>
      <c r="F19" s="7">
        <f>ROUND(MAX(0,MIN(F15,0.5*F12-MIN(F16,0.15*F12))),1)</f>
        <v>0.0</v>
      </c>
      <c r="G19" s="7">
        <f>ROUND(MAX(0,MIN(G15,0.5*G12-MIN(G16,0.15*G12))),1)</f>
        <v>0.0</v>
      </c>
      <c r="H19" s="7">
        <f>ROUND(MAX(0,MIN(H15,0.5*H12-MIN(H16,0.15*H12))),1)</f>
        <v>0.0</v>
      </c>
      <c r="I19" s="7">
        <f>ROUND(MAX(0,MIN(I15,0.5*I12-MIN(I16,0.15*I12))),1)</f>
        <v>61.9</v>
      </c>
      <c r="J19" s="7">
        <f>ROUND(MAX(0,MIN(J15,0.5*J12-MIN(J16,0.15*J12))),1)</f>
        <v>61.9</v>
      </c>
      <c r="K19" s="7">
        <f>ROUND(MAX(0,MIN(K15,0.5*K12-MIN(K16,0.15*K12))),1)</f>
        <v>61.9</v>
      </c>
    </row>
    <row r="20" spans="1:11">
      <c r="A20" s="6" t="s">
        <v>101</v>
      </c>
      <c r="B20" s="6" t="s">
        <v>102</v>
      </c>
      <c r="C20" s="6" t="s">
        <v>62</v>
      </c>
      <c r="D20" s="6" t="s">
        <v>77</v>
      </c>
      <c r="E20" s="6" t="s">
        <v>90</v>
      </c>
      <c r="F20" s="7">
        <f>ROUND(MIN(F16,0.15*F12),1)</f>
        <v>12.9</v>
      </c>
      <c r="G20" s="7">
        <f>ROUND(MIN(G16,0.15*G12),1)</f>
        <v>19.4</v>
      </c>
      <c r="H20" s="7">
        <f>ROUND(MIN(H16,0.15*H12),1)</f>
        <v>18.1</v>
      </c>
      <c r="I20" s="7">
        <f>ROUND(MIN(I16,0.15*I12),1)</f>
        <v>17.5</v>
      </c>
      <c r="J20" s="7">
        <f>ROUND(MIN(J16,0.15*J12),1)</f>
        <v>16.8</v>
      </c>
      <c r="K20" s="7">
        <f>ROUND(MIN(K16,0.15*K12),1)</f>
        <v>10.5</v>
      </c>
    </row>
    <row r="21" spans="1:11">
      <c r="A21" s="6" t="s">
        <v>103</v>
      </c>
      <c r="B21" s="6" t="s">
        <v>104</v>
      </c>
      <c r="C21" s="6" t="s">
        <v>62</v>
      </c>
      <c r="D21" s="6" t="s">
        <v>77</v>
      </c>
      <c r="E21" s="6" t="s">
        <v>90</v>
      </c>
      <c r="F21" s="7">
        <f>ROUND(F18+F19+F20,1)</f>
        <v>649.0</v>
      </c>
      <c r="G21" s="7">
        <f>ROUND(G18+G19+G20,1)</f>
        <v>632.2</v>
      </c>
      <c r="H21" s="7">
        <f>ROUND(H18+H19+H20,1)</f>
        <v>692.9</v>
      </c>
      <c r="I21" s="7">
        <f>ROUND(I18+I19+I20,1)</f>
        <v>715.7</v>
      </c>
      <c r="J21" s="7">
        <f>ROUND(J18+J19+J20,1)</f>
        <v>778.9</v>
      </c>
      <c r="K21" s="7">
        <f>ROUND(K18+K19+K20,1)</f>
        <v>820.6</v>
      </c>
    </row>
    <row r="22" spans="1:11">
      <c r="A22" s="6" t="s">
        <v>105</v>
      </c>
      <c r="B22" s="6" t="s">
        <v>106</v>
      </c>
      <c r="C22" s="6" t="s">
        <v>62</v>
      </c>
      <c r="D22" s="6" t="s">
        <v>77</v>
      </c>
      <c r="E22" s="6" t="s">
        <v>90</v>
      </c>
      <c r="F22" s="7">
        <f>F14</f>
        <v>636.1</v>
      </c>
      <c r="G22" s="7">
        <f>G14</f>
        <v>612.8</v>
      </c>
      <c r="H22" s="7">
        <f>H14</f>
        <v>674.8</v>
      </c>
      <c r="I22" s="7">
        <f>I14</f>
        <v>636.3</v>
      </c>
      <c r="J22" s="7">
        <f>J14</f>
        <v>700.2</v>
      </c>
      <c r="K22" s="7">
        <f>K14</f>
        <v>748.2</v>
      </c>
    </row>
    <row r="23" spans="1:11">
      <c r="A23" s="6" t="s">
        <v>107</v>
      </c>
      <c r="B23" s="6" t="s">
        <v>108</v>
      </c>
      <c r="C23" s="6" t="s">
        <v>62</v>
      </c>
      <c r="D23" s="6" t="s">
        <v>77</v>
      </c>
      <c r="E23" s="6" t="s">
        <v>90</v>
      </c>
      <c r="F23" s="7">
        <f>ROUND(MIN(F15,0.2*F13),1)</f>
        <v>0.0</v>
      </c>
      <c r="G23" s="7">
        <f>ROUND(MIN(G15,0.2*G13),1)</f>
        <v>0.0</v>
      </c>
      <c r="H23" s="7">
        <f>ROUND(MIN(H15,0.2*H13),1)</f>
        <v>0.0</v>
      </c>
      <c r="I23" s="7">
        <f>ROUND(MIN(I15,0.2*I13),1)</f>
        <v>22.8</v>
      </c>
      <c r="J23" s="7">
        <f>ROUND(MIN(J15,0.2*J13),1)</f>
        <v>23.7</v>
      </c>
      <c r="K23" s="7">
        <f>ROUND(MIN(K15,0.2*K13),1)</f>
        <v>21.7</v>
      </c>
    </row>
    <row r="24" spans="1:11">
      <c r="A24" s="6" t="s">
        <v>109</v>
      </c>
      <c r="B24" s="6" t="s">
        <v>110</v>
      </c>
      <c r="C24" s="6" t="s">
        <v>62</v>
      </c>
      <c r="D24" s="6" t="s">
        <v>77</v>
      </c>
      <c r="E24" s="6" t="s">
        <v>90</v>
      </c>
      <c r="F24" s="7">
        <f>ROUND(F22+F23,1)</f>
        <v>636.1</v>
      </c>
      <c r="G24" s="7">
        <f>ROUND(G22+G23,1)</f>
        <v>612.8</v>
      </c>
      <c r="H24" s="7">
        <f>ROUND(H22+H23,1)</f>
        <v>674.8</v>
      </c>
      <c r="I24" s="7">
        <f>ROUND(I22+I23,1)</f>
        <v>659.1</v>
      </c>
      <c r="J24" s="7">
        <f>ROUND(J22+J23,1)</f>
        <v>723.9</v>
      </c>
      <c r="K24" s="7">
        <f>ROUND(K22+K23,1)</f>
        <v>769.9</v>
      </c>
    </row>
    <row r="25" spans="1:11">
      <c r="A25" s="6" t="s">
        <v>111</v>
      </c>
      <c r="B25" s="6" t="s">
        <v>112</v>
      </c>
      <c r="C25" s="6" t="s">
        <v>62</v>
      </c>
      <c r="D25" s="6" t="s">
        <v>77</v>
      </c>
      <c r="E25" s="6" t="s">
        <v>90</v>
      </c>
      <c r="F25" s="7">
        <f>ROUND(F17-F21,1)</f>
        <v>0.0</v>
      </c>
      <c r="G25" s="7">
        <f>ROUND(G17-G21,1)</f>
        <v>0.0</v>
      </c>
      <c r="H25" s="7">
        <f>ROUND(H17-H21,1)</f>
        <v>0.0</v>
      </c>
      <c r="I25" s="7">
        <f>ROUND(I17-I21,1)</f>
        <v>0.0</v>
      </c>
      <c r="J25" s="7">
        <f>ROUND(J17-J21,1)</f>
        <v>0.0</v>
      </c>
      <c r="K25" s="7">
        <f>ROUND(K17-K21,1)</f>
        <v>0.0</v>
      </c>
    </row>
    <row r="26" spans="1:11">
      <c r="A26" s="6" t="s">
        <v>113</v>
      </c>
      <c r="B26" s="6" t="s">
        <v>114</v>
      </c>
      <c r="C26" s="6" t="s">
        <v>115</v>
      </c>
      <c r="D26" s="6" t="s">
        <v>77</v>
      </c>
      <c r="E26" s="6" t="s">
        <v>64</v>
      </c>
      <c r="F26" s="8">
        <f>100*F21/F12</f>
        <v>198.835784</v>
      </c>
      <c r="G26" s="8">
        <f>100*G21/G12</f>
        <v>190.192539</v>
      </c>
      <c r="H26" s="8">
        <f>100*H21/H12</f>
        <v>197.801884</v>
      </c>
      <c r="I26" s="8">
        <f>100*I21/I12</f>
        <v>195.599891</v>
      </c>
      <c r="J26" s="8">
        <f>100*J21/J12</f>
        <v>203.527567</v>
      </c>
      <c r="K26" s="8">
        <f>100*K21/K12</f>
        <v>219.941035</v>
      </c>
    </row>
    <row r="27" spans="1:11">
      <c r="A27" s="6" t="s">
        <v>116</v>
      </c>
      <c r="B27" s="6" t="s">
        <v>117</v>
      </c>
      <c r="C27" s="6" t="s">
        <v>115</v>
      </c>
      <c r="D27" s="6" t="s">
        <v>77</v>
      </c>
      <c r="E27" s="6" t="s">
        <v>64</v>
      </c>
      <c r="F27" s="8">
        <f>100*F24/F13</f>
        <v>668.172269</v>
      </c>
      <c r="G27" s="8">
        <f>100*G24/G13</f>
        <v>629.804728</v>
      </c>
      <c r="H27" s="8">
        <f>100*H24/H13</f>
        <v>645.124283</v>
      </c>
      <c r="I27" s="8">
        <f>100*I24/I13</f>
        <v>579.173989</v>
      </c>
      <c r="J27" s="8">
        <f>100*J24/J13</f>
        <v>610.370995</v>
      </c>
      <c r="K27" s="8">
        <f>100*K24/K13</f>
        <v>708.279669</v>
      </c>
    </row>
    <row r="28" spans="1:11">
      <c r="A28" t="s">
        <v>118</v>
      </c>
      <c r="B28" t="s">
        <v>119</v>
      </c>
      <c r="C28" t="s">
        <v>62</v>
      </c>
      <c r="D28" t="s">
        <v>63</v>
      </c>
      <c r="E28" t="s">
        <v>120</v>
      </c>
      <c r="F28" s="5">
        <v>665.7</v>
      </c>
      <c r="G28" s="5">
        <v>652.6</v>
      </c>
      <c r="H28" s="5">
        <v>711</v>
      </c>
      <c r="I28" s="5">
        <v>676.5</v>
      </c>
      <c r="J28" s="5">
        <v>739.1</v>
      </c>
      <c r="K28" s="5">
        <v>781.9</v>
      </c>
    </row>
    <row r="29" spans="1:11">
      <c r="A29" t="s">
        <v>121</v>
      </c>
      <c r="B29" t="s">
        <v>122</v>
      </c>
      <c r="C29" t="s">
        <v>62</v>
      </c>
      <c r="D29" t="s">
        <v>63</v>
      </c>
      <c r="E29" t="s">
        <v>120</v>
      </c>
      <c r="F29" s="5">
        <v>24.3</v>
      </c>
      <c r="G29" s="5">
        <v>21.7</v>
      </c>
      <c r="H29" s="5">
        <v>27.9</v>
      </c>
      <c r="I29" s="5">
        <v>25.6</v>
      </c>
      <c r="J29" s="5">
        <v>29.4</v>
      </c>
      <c r="K29" s="5">
        <v>32.1</v>
      </c>
    </row>
    <row r="30" spans="1:11">
      <c r="A30" t="s">
        <v>123</v>
      </c>
      <c r="B30" t="s">
        <v>124</v>
      </c>
      <c r="C30" t="s">
        <v>62</v>
      </c>
      <c r="D30" t="s">
        <v>63</v>
      </c>
      <c r="E30" t="s">
        <v>120</v>
      </c>
      <c r="F30" s="5">
        <v>-36.9</v>
      </c>
      <c r="G30" s="5">
        <v>-38.5</v>
      </c>
      <c r="H30" s="5">
        <v>-41.2</v>
      </c>
      <c r="I30" s="5">
        <v>-44</v>
      </c>
      <c r="J30" s="5">
        <v>-46.3</v>
      </c>
      <c r="K30" s="5">
        <v>-48.6</v>
      </c>
    </row>
    <row r="31" spans="1:11">
      <c r="A31" t="s">
        <v>125</v>
      </c>
      <c r="B31" t="s">
        <v>126</v>
      </c>
      <c r="C31" t="s">
        <v>62</v>
      </c>
      <c r="D31" t="s">
        <v>63</v>
      </c>
      <c r="E31" t="s">
        <v>120</v>
      </c>
      <c r="F31" s="5">
        <v>-4.1</v>
      </c>
      <c r="G31" s="5">
        <v>-3.6</v>
      </c>
      <c r="H31" s="5">
        <v>-4.8</v>
      </c>
      <c r="I31" s="5">
        <v>-4.3</v>
      </c>
      <c r="J31" s="5">
        <v>-5.2</v>
      </c>
      <c r="K31" s="5">
        <v>-6.7</v>
      </c>
    </row>
    <row r="32" spans="1:11">
      <c r="A32" t="s">
        <v>127</v>
      </c>
      <c r="B32" t="s">
        <v>128</v>
      </c>
      <c r="C32" t="s">
        <v>62</v>
      </c>
      <c r="D32" t="s">
        <v>63</v>
      </c>
      <c r="E32" t="s">
        <v>120</v>
      </c>
      <c r="F32" s="5">
        <v>0</v>
      </c>
      <c r="G32" s="5">
        <v>0</v>
      </c>
      <c r="H32" s="5">
        <v>0</v>
      </c>
      <c r="I32" s="5">
        <v>0</v>
      </c>
      <c r="J32" s="5">
        <v>0</v>
      </c>
      <c r="K32" s="5">
        <v>0</v>
      </c>
    </row>
    <row r="33" spans="1:11">
      <c r="A33" s="6" t="s">
        <v>129</v>
      </c>
      <c r="B33" s="6" t="s">
        <v>130</v>
      </c>
      <c r="C33" s="6" t="s">
        <v>62</v>
      </c>
      <c r="D33" s="6" t="s">
        <v>77</v>
      </c>
      <c r="E33" s="6" t="s">
        <v>120</v>
      </c>
      <c r="F33" s="7">
        <f>ROUND(F28+F29+F30+F31+F32,1)</f>
        <v>649.0</v>
      </c>
      <c r="G33" s="7">
        <f>ROUND(G28+G29+G30+G31+G32,1)</f>
        <v>632.2</v>
      </c>
      <c r="H33" s="7">
        <f>ROUND(H28+H29+H30+H31+H32,1)</f>
        <v>692.9</v>
      </c>
      <c r="I33" s="7">
        <f>ROUND(I28+I29+I30+I31+I32,1)</f>
        <v>653.8</v>
      </c>
      <c r="J33" s="7">
        <f>ROUND(J28+J29+J30+J31+J32,1)</f>
        <v>717.0</v>
      </c>
      <c r="K33" s="7">
        <f>ROUND(K28+K29+K30+K31+K32,1)</f>
        <v>758.7</v>
      </c>
    </row>
    <row r="34" spans="1:11">
      <c r="A34" t="s">
        <v>131</v>
      </c>
      <c r="B34" t="s">
        <v>132</v>
      </c>
      <c r="C34" t="s">
        <v>62</v>
      </c>
      <c r="D34" t="s">
        <v>63</v>
      </c>
      <c r="E34" t="s">
        <v>90</v>
      </c>
      <c r="F34" s="5">
        <v>0</v>
      </c>
      <c r="G34" s="5">
        <v>0</v>
      </c>
      <c r="H34" s="5">
        <v>0</v>
      </c>
      <c r="I34" s="5">
        <v>0</v>
      </c>
      <c r="J34" s="5">
        <v>0</v>
      </c>
      <c r="K34" s="5">
        <v>0</v>
      </c>
    </row>
    <row r="35" spans="1:11">
      <c r="A35" t="s">
        <v>133</v>
      </c>
      <c r="B35" t="s">
        <v>134</v>
      </c>
      <c r="C35" t="s">
        <v>62</v>
      </c>
      <c r="D35" t="s">
        <v>63</v>
      </c>
      <c r="E35" t="s">
        <v>90</v>
      </c>
      <c r="F35" s="5">
        <v>0</v>
      </c>
      <c r="G35" s="5">
        <v>0</v>
      </c>
      <c r="H35" s="5">
        <v>0</v>
      </c>
      <c r="I35" s="5">
        <v>61.9</v>
      </c>
      <c r="J35" s="5">
        <v>61.9</v>
      </c>
      <c r="K35" s="5">
        <v>61.9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6"/>
  <sheetViews>
    <sheetView workbookViewId="0"/>
  </sheetViews>
  <sheetFormatPr defaultRowHeight="15"/>
  <cols>
    <col min="1" max="2" width="7.7109375" customWidth="1"/>
    <col min="3" max="3" width="24.7109375" customWidth="1"/>
    <col min="4" max="4" width="120.7109375" style="1" customWidth="1"/>
  </cols>
  <sheetData>
    <row r="1" spans="1:4">
      <c r="A1" s="4" t="s">
        <v>135</v>
      </c>
      <c r="B1" s="4" t="s">
        <v>49</v>
      </c>
      <c r="C1" s="4" t="s">
        <v>136</v>
      </c>
      <c r="D1" s="4" t="s">
        <v>137</v>
      </c>
    </row>
    <row r="2" spans="1:4">
      <c r="A2" s="1">
        <v>2022</v>
      </c>
      <c r="B2" s="1" t="s">
        <v>138</v>
      </c>
      <c r="C2" s="1" t="s">
        <v>139</v>
      </c>
      <c r="D2" s="1" t="s">
        <v>140</v>
      </c>
    </row>
    <row r="3" spans="1:4">
      <c r="A3" s="1">
        <v>2022</v>
      </c>
      <c r="B3" s="1" t="s">
        <v>141</v>
      </c>
      <c r="C3" s="1" t="s">
        <v>142</v>
      </c>
      <c r="D3" s="1" t="s">
        <v>143</v>
      </c>
    </row>
    <row r="4" spans="1:4">
      <c r="A4" s="1">
        <v>2022</v>
      </c>
      <c r="B4" s="1" t="s">
        <v>144</v>
      </c>
      <c r="C4" s="1" t="s">
        <v>145</v>
      </c>
      <c r="D4" s="1" t="s">
        <v>146</v>
      </c>
    </row>
    <row r="5" spans="1:4">
      <c r="A5" s="1">
        <v>2022</v>
      </c>
      <c r="B5" s="1" t="s">
        <v>147</v>
      </c>
      <c r="C5" s="1" t="s">
        <v>148</v>
      </c>
      <c r="D5" s="1" t="s">
        <v>149</v>
      </c>
    </row>
    <row r="6" spans="1:4">
      <c r="A6" s="1">
        <v>2023</v>
      </c>
      <c r="B6" s="1" t="s">
        <v>138</v>
      </c>
      <c r="C6" s="1" t="s">
        <v>150</v>
      </c>
      <c r="D6" s="1" t="s">
        <v>151</v>
      </c>
    </row>
    <row r="7" spans="1:4">
      <c r="A7" s="1">
        <v>2023</v>
      </c>
      <c r="B7" s="1" t="s">
        <v>141</v>
      </c>
      <c r="C7" s="1" t="s">
        <v>152</v>
      </c>
      <c r="D7" s="1" t="s">
        <v>153</v>
      </c>
    </row>
    <row r="8" spans="1:4">
      <c r="A8" s="1">
        <v>2023</v>
      </c>
      <c r="B8" s="1" t="s">
        <v>144</v>
      </c>
      <c r="C8" s="1" t="s">
        <v>145</v>
      </c>
      <c r="D8" s="1" t="s">
        <v>154</v>
      </c>
    </row>
    <row r="9" spans="1:4">
      <c r="A9" s="1">
        <v>2023</v>
      </c>
      <c r="B9" s="1" t="s">
        <v>147</v>
      </c>
      <c r="C9" s="1" t="s">
        <v>148</v>
      </c>
      <c r="D9" s="1" t="s">
        <v>155</v>
      </c>
    </row>
    <row r="10" spans="1:4">
      <c r="A10" s="1">
        <v>2024</v>
      </c>
      <c r="B10" s="1" t="s">
        <v>138</v>
      </c>
      <c r="C10" s="1" t="s">
        <v>156</v>
      </c>
      <c r="D10" s="1" t="s">
        <v>157</v>
      </c>
    </row>
    <row r="11" spans="1:4">
      <c r="A11" s="1">
        <v>2024</v>
      </c>
      <c r="B11" s="1" t="s">
        <v>141</v>
      </c>
      <c r="C11" s="1" t="s">
        <v>158</v>
      </c>
      <c r="D11" s="1" t="s">
        <v>159</v>
      </c>
    </row>
    <row r="12" spans="1:4">
      <c r="A12" s="1">
        <v>2024</v>
      </c>
      <c r="B12" s="1" t="s">
        <v>144</v>
      </c>
      <c r="C12" s="1" t="s">
        <v>160</v>
      </c>
      <c r="D12" s="1" t="s">
        <v>161</v>
      </c>
    </row>
    <row r="13" spans="1:4">
      <c r="A13" s="1">
        <v>2024</v>
      </c>
      <c r="B13" s="1" t="s">
        <v>147</v>
      </c>
      <c r="C13" s="1" t="s">
        <v>162</v>
      </c>
      <c r="D13" s="1" t="s">
        <v>163</v>
      </c>
    </row>
    <row r="14" spans="1:4">
      <c r="A14" s="1">
        <v>2024</v>
      </c>
      <c r="B14" s="1" t="s">
        <v>164</v>
      </c>
      <c r="C14" s="1" t="s">
        <v>165</v>
      </c>
      <c r="D14" s="1" t="s">
        <v>166</v>
      </c>
    </row>
    <row r="15" spans="1:4">
      <c r="A15" s="1">
        <v>2025</v>
      </c>
      <c r="B15" s="1" t="s">
        <v>138</v>
      </c>
      <c r="C15" s="1" t="s">
        <v>167</v>
      </c>
      <c r="D15" s="1" t="s">
        <v>168</v>
      </c>
    </row>
    <row r="16" spans="1:4">
      <c r="A16" s="1">
        <v>2025</v>
      </c>
      <c r="B16" s="1" t="s">
        <v>141</v>
      </c>
      <c r="C16" s="1" t="s">
        <v>169</v>
      </c>
      <c r="D16" s="1" t="s">
        <v>170</v>
      </c>
    </row>
    <row r="17" spans="1:4">
      <c r="A17" s="1">
        <v>2025</v>
      </c>
      <c r="B17" s="1" t="s">
        <v>144</v>
      </c>
      <c r="C17" s="1" t="s">
        <v>160</v>
      </c>
      <c r="D17" s="1" t="s">
        <v>171</v>
      </c>
    </row>
    <row r="18" spans="1:4">
      <c r="A18" s="1">
        <v>2025</v>
      </c>
      <c r="B18" s="1" t="s">
        <v>147</v>
      </c>
      <c r="C18" s="1" t="s">
        <v>172</v>
      </c>
      <c r="D18" s="1" t="s">
        <v>173</v>
      </c>
    </row>
    <row r="19" spans="1:4">
      <c r="A19" s="1">
        <v>2026</v>
      </c>
      <c r="B19" s="1" t="s">
        <v>174</v>
      </c>
      <c r="C19" s="1" t="s">
        <v>175</v>
      </c>
      <c r="D19" s="1" t="s">
        <v>176</v>
      </c>
    </row>
    <row r="20" spans="1:4">
      <c r="A20" s="1">
        <v>2026</v>
      </c>
      <c r="B20" s="1" t="s">
        <v>177</v>
      </c>
      <c r="C20" s="1" t="s">
        <v>178</v>
      </c>
      <c r="D20" s="1" t="s">
        <v>179</v>
      </c>
    </row>
    <row r="21" spans="1:4">
      <c r="A21" s="1">
        <v>2026</v>
      </c>
      <c r="B21" s="1" t="s">
        <v>180</v>
      </c>
      <c r="C21" s="1" t="s">
        <v>139</v>
      </c>
      <c r="D21" s="1" t="s">
        <v>181</v>
      </c>
    </row>
    <row r="22" spans="1:4">
      <c r="A22" s="1">
        <v>2026</v>
      </c>
      <c r="B22" s="1" t="s">
        <v>182</v>
      </c>
      <c r="C22" s="1" t="s">
        <v>183</v>
      </c>
      <c r="D22" s="1" t="s">
        <v>184</v>
      </c>
    </row>
    <row r="23" spans="1:4">
      <c r="A23" s="1">
        <v>2026</v>
      </c>
      <c r="B23" s="1" t="s">
        <v>185</v>
      </c>
      <c r="C23" s="1" t="s">
        <v>186</v>
      </c>
      <c r="D23" s="1" t="s">
        <v>187</v>
      </c>
    </row>
    <row r="24" spans="1:4">
      <c r="A24" s="1">
        <v>2026</v>
      </c>
      <c r="B24" s="1" t="s">
        <v>188</v>
      </c>
      <c r="C24" s="1" t="s">
        <v>189</v>
      </c>
      <c r="D24" s="1" t="s">
        <v>190</v>
      </c>
    </row>
    <row r="25" spans="1:4">
      <c r="A25" s="1">
        <v>2026</v>
      </c>
      <c r="B25" s="1" t="s">
        <v>191</v>
      </c>
      <c r="C25" s="1" t="s">
        <v>148</v>
      </c>
      <c r="D25" s="1" t="s">
        <v>192</v>
      </c>
    </row>
    <row r="26" spans="1:4">
      <c r="A26" s="1">
        <v>2026</v>
      </c>
      <c r="B26" s="1" t="s">
        <v>193</v>
      </c>
      <c r="C26" s="1" t="s">
        <v>194</v>
      </c>
      <c r="D26" s="1" t="s">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9"/>
  <sheetViews>
    <sheetView workbookViewId="0"/>
  </sheetViews>
  <sheetFormatPr defaultRowHeight="15"/>
  <cols>
    <col min="1" max="2" width="8.7109375" customWidth="1"/>
    <col min="3" max="3" width="18.7109375" customWidth="1"/>
    <col min="4" max="4" width="34.7109375" style="1" customWidth="1"/>
    <col min="5" max="5" width="12.7109375" customWidth="1"/>
    <col min="6" max="6" width="120.7109375" style="1" customWidth="1"/>
  </cols>
  <sheetData>
    <row r="1" spans="1:6">
      <c r="A1" s="4" t="s">
        <v>135</v>
      </c>
      <c r="B1" s="4" t="s">
        <v>53</v>
      </c>
      <c r="C1" s="4" t="s">
        <v>196</v>
      </c>
      <c r="D1" s="4" t="s">
        <v>197</v>
      </c>
      <c r="E1" s="4" t="s">
        <v>198</v>
      </c>
      <c r="F1" s="4" t="s">
        <v>137</v>
      </c>
    </row>
    <row r="2" spans="1:6">
      <c r="A2" s="1">
        <v>2022</v>
      </c>
      <c r="B2" s="1" t="s">
        <v>90</v>
      </c>
      <c r="C2" s="1" t="s">
        <v>199</v>
      </c>
      <c r="D2" s="1" t="s">
        <v>200</v>
      </c>
      <c r="E2" s="1"/>
      <c r="F2" s="1" t="s">
        <v>201</v>
      </c>
    </row>
    <row r="3" spans="1:6">
      <c r="A3" s="1">
        <v>2022</v>
      </c>
      <c r="B3" s="1" t="s">
        <v>90</v>
      </c>
      <c r="C3" s="1" t="s">
        <v>202</v>
      </c>
      <c r="D3" s="1" t="s">
        <v>203</v>
      </c>
      <c r="E3" s="1" t="s">
        <v>204</v>
      </c>
      <c r="F3" s="1" t="s">
        <v>205</v>
      </c>
    </row>
    <row r="4" spans="1:6">
      <c r="A4" s="1">
        <v>2022</v>
      </c>
      <c r="B4" s="1" t="s">
        <v>90</v>
      </c>
      <c r="C4" s="1" t="s">
        <v>206</v>
      </c>
      <c r="D4" s="1" t="s">
        <v>207</v>
      </c>
      <c r="E4" s="1"/>
      <c r="F4" s="1" t="s">
        <v>208</v>
      </c>
    </row>
    <row r="5" spans="1:6">
      <c r="A5" s="1">
        <v>2022</v>
      </c>
      <c r="B5" s="1" t="s">
        <v>90</v>
      </c>
      <c r="C5" s="1" t="s">
        <v>209</v>
      </c>
      <c r="D5" s="1" t="s">
        <v>210</v>
      </c>
      <c r="E5" s="1"/>
      <c r="F5" s="1" t="s">
        <v>211</v>
      </c>
    </row>
    <row r="6" spans="1:6">
      <c r="A6" s="1">
        <v>2022</v>
      </c>
      <c r="B6" s="1" t="s">
        <v>64</v>
      </c>
      <c r="C6" s="1" t="s">
        <v>212</v>
      </c>
      <c r="D6" s="1" t="s">
        <v>213</v>
      </c>
      <c r="E6" s="1"/>
      <c r="F6" s="1" t="s">
        <v>214</v>
      </c>
    </row>
    <row r="7" spans="1:6">
      <c r="A7" s="1">
        <v>2022</v>
      </c>
      <c r="B7" s="1" t="s">
        <v>64</v>
      </c>
      <c r="C7" s="1" t="s">
        <v>215</v>
      </c>
      <c r="D7" s="1" t="s">
        <v>216</v>
      </c>
      <c r="E7" s="1"/>
      <c r="F7" s="1" t="s">
        <v>217</v>
      </c>
    </row>
    <row r="8" spans="1:6">
      <c r="A8" s="1">
        <v>2022</v>
      </c>
      <c r="B8" s="1" t="s">
        <v>64</v>
      </c>
      <c r="C8" s="1" t="s">
        <v>218</v>
      </c>
      <c r="D8" s="1" t="s">
        <v>219</v>
      </c>
      <c r="E8" s="1" t="s">
        <v>220</v>
      </c>
      <c r="F8" s="1" t="s">
        <v>221</v>
      </c>
    </row>
    <row r="9" spans="1:6">
      <c r="A9" s="1">
        <v>2023</v>
      </c>
      <c r="B9" s="1" t="s">
        <v>90</v>
      </c>
      <c r="C9" s="1" t="s">
        <v>199</v>
      </c>
      <c r="D9" s="1" t="s">
        <v>200</v>
      </c>
      <c r="E9" s="1"/>
      <c r="F9" s="1" t="s">
        <v>222</v>
      </c>
    </row>
    <row r="10" spans="1:6">
      <c r="A10" s="1">
        <v>2023</v>
      </c>
      <c r="B10" s="1" t="s">
        <v>90</v>
      </c>
      <c r="C10" s="1" t="s">
        <v>202</v>
      </c>
      <c r="D10" s="1" t="s">
        <v>203</v>
      </c>
      <c r="E10" s="1" t="s">
        <v>204</v>
      </c>
      <c r="F10" s="1" t="s">
        <v>223</v>
      </c>
    </row>
    <row r="11" spans="1:6">
      <c r="A11" s="1">
        <v>2023</v>
      </c>
      <c r="B11" s="1" t="s">
        <v>90</v>
      </c>
      <c r="C11" s="1" t="s">
        <v>206</v>
      </c>
      <c r="D11" s="1" t="s">
        <v>207</v>
      </c>
      <c r="E11" s="1"/>
      <c r="F11" s="1" t="s">
        <v>224</v>
      </c>
    </row>
    <row r="12" spans="1:6">
      <c r="A12" s="1">
        <v>2023</v>
      </c>
      <c r="B12" s="1" t="s">
        <v>90</v>
      </c>
      <c r="C12" s="1" t="s">
        <v>209</v>
      </c>
      <c r="D12" s="1" t="s">
        <v>210</v>
      </c>
      <c r="E12" s="1"/>
      <c r="F12" s="1" t="s">
        <v>225</v>
      </c>
    </row>
    <row r="13" spans="1:6">
      <c r="A13" s="1">
        <v>2023</v>
      </c>
      <c r="B13" s="1" t="s">
        <v>64</v>
      </c>
      <c r="C13" s="1" t="s">
        <v>212</v>
      </c>
      <c r="D13" s="1" t="s">
        <v>213</v>
      </c>
      <c r="E13" s="1"/>
      <c r="F13" s="1" t="s">
        <v>226</v>
      </c>
    </row>
    <row r="14" spans="1:6">
      <c r="A14" s="1">
        <v>2023</v>
      </c>
      <c r="B14" s="1" t="s">
        <v>64</v>
      </c>
      <c r="C14" s="1" t="s">
        <v>215</v>
      </c>
      <c r="D14" s="1" t="s">
        <v>216</v>
      </c>
      <c r="E14" s="1"/>
      <c r="F14" s="1" t="s">
        <v>217</v>
      </c>
    </row>
    <row r="15" spans="1:6">
      <c r="A15" s="1">
        <v>2023</v>
      </c>
      <c r="B15" s="1" t="s">
        <v>64</v>
      </c>
      <c r="C15" s="1" t="s">
        <v>218</v>
      </c>
      <c r="D15" s="1" t="s">
        <v>219</v>
      </c>
      <c r="E15" s="1" t="s">
        <v>227</v>
      </c>
      <c r="F15" s="1" t="s">
        <v>228</v>
      </c>
    </row>
    <row r="16" spans="1:6">
      <c r="A16" s="1">
        <v>2024</v>
      </c>
      <c r="B16" s="1" t="s">
        <v>90</v>
      </c>
      <c r="C16" s="1" t="s">
        <v>199</v>
      </c>
      <c r="D16" s="1" t="s">
        <v>200</v>
      </c>
      <c r="E16" s="1"/>
      <c r="F16" s="1" t="s">
        <v>229</v>
      </c>
    </row>
    <row r="17" spans="1:6">
      <c r="A17" s="1">
        <v>2024</v>
      </c>
      <c r="B17" s="1" t="s">
        <v>90</v>
      </c>
      <c r="C17" s="1" t="s">
        <v>202</v>
      </c>
      <c r="D17" s="1" t="s">
        <v>203</v>
      </c>
      <c r="E17" s="1" t="s">
        <v>230</v>
      </c>
      <c r="F17" s="1" t="s">
        <v>231</v>
      </c>
    </row>
    <row r="18" spans="1:6">
      <c r="A18" s="1">
        <v>2024</v>
      </c>
      <c r="B18" s="1" t="s">
        <v>90</v>
      </c>
      <c r="C18" s="1" t="s">
        <v>206</v>
      </c>
      <c r="D18" s="1" t="s">
        <v>207</v>
      </c>
      <c r="E18" s="1"/>
      <c r="F18" s="1" t="s">
        <v>232</v>
      </c>
    </row>
    <row r="19" spans="1:6">
      <c r="A19" s="1">
        <v>2024</v>
      </c>
      <c r="B19" s="1" t="s">
        <v>90</v>
      </c>
      <c r="C19" s="1" t="s">
        <v>209</v>
      </c>
      <c r="D19" s="1" t="s">
        <v>210</v>
      </c>
      <c r="E19" s="1"/>
      <c r="F19" s="1" t="s">
        <v>233</v>
      </c>
    </row>
    <row r="20" spans="1:6">
      <c r="A20" s="1">
        <v>2024</v>
      </c>
      <c r="B20" s="1" t="s">
        <v>64</v>
      </c>
      <c r="C20" s="1" t="s">
        <v>212</v>
      </c>
      <c r="D20" s="1" t="s">
        <v>213</v>
      </c>
      <c r="E20" s="1"/>
      <c r="F20" s="1" t="s">
        <v>234</v>
      </c>
    </row>
    <row r="21" spans="1:6">
      <c r="A21" s="1">
        <v>2024</v>
      </c>
      <c r="B21" s="1" t="s">
        <v>64</v>
      </c>
      <c r="C21" s="1" t="s">
        <v>215</v>
      </c>
      <c r="D21" s="1" t="s">
        <v>216</v>
      </c>
      <c r="E21" s="1"/>
      <c r="F21" s="1" t="s">
        <v>217</v>
      </c>
    </row>
    <row r="22" spans="1:6">
      <c r="A22" s="1">
        <v>2024</v>
      </c>
      <c r="B22" s="1" t="s">
        <v>64</v>
      </c>
      <c r="C22" s="1" t="s">
        <v>218</v>
      </c>
      <c r="D22" s="1" t="s">
        <v>219</v>
      </c>
      <c r="E22" s="1" t="s">
        <v>235</v>
      </c>
      <c r="F22" s="1" t="s">
        <v>236</v>
      </c>
    </row>
    <row r="23" spans="1:6">
      <c r="A23" s="1">
        <v>2025</v>
      </c>
      <c r="B23" s="1" t="s">
        <v>90</v>
      </c>
      <c r="C23" s="1" t="s">
        <v>199</v>
      </c>
      <c r="D23" s="1" t="s">
        <v>200</v>
      </c>
      <c r="E23" s="1"/>
      <c r="F23" s="1" t="s">
        <v>237</v>
      </c>
    </row>
    <row r="24" spans="1:6">
      <c r="A24" s="1">
        <v>2025</v>
      </c>
      <c r="B24" s="1" t="s">
        <v>90</v>
      </c>
      <c r="C24" s="1" t="s">
        <v>202</v>
      </c>
      <c r="D24" s="1" t="s">
        <v>203</v>
      </c>
      <c r="E24" s="1" t="s">
        <v>141</v>
      </c>
      <c r="F24" s="1" t="s">
        <v>238</v>
      </c>
    </row>
    <row r="25" spans="1:6">
      <c r="A25" s="1">
        <v>2025</v>
      </c>
      <c r="B25" s="1" t="s">
        <v>90</v>
      </c>
      <c r="C25" s="1" t="s">
        <v>206</v>
      </c>
      <c r="D25" s="1" t="s">
        <v>207</v>
      </c>
      <c r="E25" s="1"/>
      <c r="F25" s="1" t="s">
        <v>239</v>
      </c>
    </row>
    <row r="26" spans="1:6">
      <c r="A26" s="1">
        <v>2025</v>
      </c>
      <c r="B26" s="1" t="s">
        <v>90</v>
      </c>
      <c r="C26" s="1" t="s">
        <v>209</v>
      </c>
      <c r="D26" s="1" t="s">
        <v>210</v>
      </c>
      <c r="E26" s="1"/>
      <c r="F26" s="1" t="s">
        <v>240</v>
      </c>
    </row>
    <row r="27" spans="1:6">
      <c r="A27" s="1">
        <v>2025</v>
      </c>
      <c r="B27" s="1" t="s">
        <v>64</v>
      </c>
      <c r="C27" s="1" t="s">
        <v>212</v>
      </c>
      <c r="D27" s="1" t="s">
        <v>213</v>
      </c>
      <c r="E27" s="1"/>
      <c r="F27" s="1" t="s">
        <v>241</v>
      </c>
    </row>
    <row r="28" spans="1:6">
      <c r="A28" s="1">
        <v>2025</v>
      </c>
      <c r="B28" s="1" t="s">
        <v>64</v>
      </c>
      <c r="C28" s="1" t="s">
        <v>215</v>
      </c>
      <c r="D28" s="1" t="s">
        <v>216</v>
      </c>
      <c r="E28" s="1"/>
      <c r="F28" s="1" t="s">
        <v>217</v>
      </c>
    </row>
    <row r="29" spans="1:6">
      <c r="A29" s="1">
        <v>2025</v>
      </c>
      <c r="B29" s="1" t="s">
        <v>64</v>
      </c>
      <c r="C29" s="1" t="s">
        <v>218</v>
      </c>
      <c r="D29" s="1" t="s">
        <v>219</v>
      </c>
      <c r="E29" s="1" t="s">
        <v>242</v>
      </c>
      <c r="F29" s="1" t="s">
        <v>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9"/>
  <sheetViews>
    <sheetView workbookViewId="0"/>
  </sheetViews>
  <sheetFormatPr defaultRowHeight="15"/>
  <cols>
    <col min="1" max="3" width="11.7109375" customWidth="1"/>
    <col min="4" max="5" width="26.7109375" customWidth="1"/>
    <col min="6" max="6" width="70.7109375" style="1" customWidth="1"/>
  </cols>
  <sheetData>
    <row r="1" spans="1:6">
      <c r="A1" s="4" t="s">
        <v>244</v>
      </c>
      <c r="B1" s="4" t="s">
        <v>245</v>
      </c>
      <c r="C1" s="4" t="s">
        <v>246</v>
      </c>
      <c r="D1" s="4" t="s">
        <v>247</v>
      </c>
      <c r="E1" s="4" t="s">
        <v>248</v>
      </c>
      <c r="F1" s="4" t="s">
        <v>249</v>
      </c>
    </row>
    <row r="2" spans="1:6">
      <c r="A2" t="s">
        <v>250</v>
      </c>
      <c r="B2">
        <v>0</v>
      </c>
      <c r="C2">
        <v>1</v>
      </c>
      <c r="D2" s="1" t="s">
        <v>251</v>
      </c>
      <c r="E2" s="1" t="s">
        <v>251</v>
      </c>
      <c r="F2" s="1" t="s">
        <v>252</v>
      </c>
    </row>
    <row r="3" spans="1:6">
      <c r="A3" t="s">
        <v>250</v>
      </c>
      <c r="B3">
        <v>1</v>
      </c>
      <c r="C3">
        <v>5</v>
      </c>
      <c r="D3" s="1" t="s">
        <v>253</v>
      </c>
      <c r="E3" s="1" t="s">
        <v>254</v>
      </c>
      <c r="F3" s="1" t="s">
        <v>252</v>
      </c>
    </row>
    <row r="4" spans="1:6">
      <c r="A4" t="s">
        <v>250</v>
      </c>
      <c r="B4">
        <v>5</v>
      </c>
      <c r="C4">
        <v>15</v>
      </c>
      <c r="D4" s="1" t="s">
        <v>255</v>
      </c>
      <c r="E4" s="1" t="s">
        <v>256</v>
      </c>
      <c r="F4" s="1" t="s">
        <v>252</v>
      </c>
    </row>
    <row r="5" spans="1:6">
      <c r="A5" t="s">
        <v>250</v>
      </c>
      <c r="B5">
        <v>15</v>
      </c>
      <c r="D5" s="1" t="s">
        <v>257</v>
      </c>
      <c r="E5" s="1" t="s">
        <v>258</v>
      </c>
      <c r="F5" s="1" t="s">
        <v>252</v>
      </c>
    </row>
    <row r="6" spans="1:6">
      <c r="A6" t="s">
        <v>259</v>
      </c>
      <c r="B6">
        <v>0</v>
      </c>
      <c r="C6">
        <v>2</v>
      </c>
      <c r="D6" s="1" t="s">
        <v>251</v>
      </c>
      <c r="E6" s="1" t="s">
        <v>251</v>
      </c>
      <c r="F6" s="1" t="s">
        <v>260</v>
      </c>
    </row>
    <row r="7" spans="1:6">
      <c r="A7" t="s">
        <v>259</v>
      </c>
      <c r="B7">
        <v>2</v>
      </c>
      <c r="C7">
        <v>10</v>
      </c>
      <c r="D7" s="1" t="s">
        <v>253</v>
      </c>
      <c r="E7" s="1" t="s">
        <v>254</v>
      </c>
      <c r="F7" s="1" t="s">
        <v>260</v>
      </c>
    </row>
    <row r="8" spans="1:6">
      <c r="A8" t="s">
        <v>259</v>
      </c>
      <c r="B8">
        <v>10</v>
      </c>
      <c r="C8">
        <v>25</v>
      </c>
      <c r="D8" s="1" t="s">
        <v>255</v>
      </c>
      <c r="E8" s="1" t="s">
        <v>256</v>
      </c>
      <c r="F8" s="1" t="s">
        <v>260</v>
      </c>
    </row>
    <row r="9" spans="1:6">
      <c r="A9" t="s">
        <v>259</v>
      </c>
      <c r="B9">
        <v>25</v>
      </c>
      <c r="D9" s="1" t="s">
        <v>257</v>
      </c>
      <c r="E9" s="1" t="s">
        <v>258</v>
      </c>
      <c r="F9" s="1" t="s">
        <v>260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36.7109375" customWidth="1"/>
    <col min="2" max="2" width="50.7109375" style="1" customWidth="1"/>
    <col min="3" max="3" width="60.7109375" style="1" customWidth="1"/>
  </cols>
  <sheetData>
    <row r="1" spans="1:3">
      <c r="A1" s="4" t="s">
        <v>261</v>
      </c>
      <c r="B1" s="4" t="s">
        <v>262</v>
      </c>
      <c r="C1" s="4" t="s">
        <v>249</v>
      </c>
    </row>
    <row r="2" spans="1:3">
      <c r="A2" s="1" t="s">
        <v>114</v>
      </c>
      <c r="B2" s="1" t="s">
        <v>263</v>
      </c>
      <c r="C2" s="1" t="s">
        <v>264</v>
      </c>
    </row>
    <row r="3" spans="1:3">
      <c r="A3" s="1" t="s">
        <v>265</v>
      </c>
      <c r="B3" s="1" t="s">
        <v>266</v>
      </c>
      <c r="C3" s="1" t="s">
        <v>267</v>
      </c>
    </row>
    <row r="4" spans="1:3">
      <c r="A4" s="1" t="s">
        <v>35</v>
      </c>
      <c r="B4" s="1" t="s">
        <v>268</v>
      </c>
      <c r="C4" s="1" t="s">
        <v>269</v>
      </c>
    </row>
    <row r="5" spans="1:3">
      <c r="A5" s="1" t="s">
        <v>270</v>
      </c>
      <c r="B5" s="1" t="s">
        <v>271</v>
      </c>
      <c r="C5" s="1"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Company</vt:lpstr>
      <vt:lpstr>Figures</vt:lpstr>
      <vt:lpstr>Bullets</vt:lpstr>
      <vt:lpstr>Narratives</vt:lpstr>
      <vt:lpstr>House phrases</vt:lpstr>
      <vt:lpstr>Terminology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Brisendale Mutual: figures, bullets and SFCR texts E.1/E.2 (fictitious)</dc:title>
  <dc:creator>EAA seminar E0572 (synthetic data)</dc:creator>
  <cp:lastModifiedBy>EAA seminar E0572 (synthetic data)</cp:lastModifiedBy>
  <dcterms:created xsi:type="dcterms:W3CDTF">2026-10-01T00:00:00Z</dcterms:created>
  <dcterms:modified xsi:type="dcterms:W3CDTF">2026-10-01T00:00:00Z</dcterms:modified>
</cp:coreProperties>
</file>